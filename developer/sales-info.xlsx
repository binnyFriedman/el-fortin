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Plan" sheetId="1" r:id="rId5"/>
    <sheet state="visible" name="7.Vision" sheetId="2" r:id="rId6"/>
    <sheet state="visible" name="8.Ventas" sheetId="3" r:id="rId7"/>
    <sheet state="visible" name="9.Simulacion" sheetId="4" r:id="rId8"/>
    <sheet state="visible" name="12.% m2" sheetId="5" r:id="rId9"/>
  </sheets>
  <definedNames/>
  <calcPr/>
</workbook>
</file>

<file path=xl/sharedStrings.xml><?xml version="1.0" encoding="utf-8"?>
<sst xmlns="http://schemas.openxmlformats.org/spreadsheetml/2006/main" count="176" uniqueCount="113">
  <si>
    <t>6 viviendas de 57 metros y 4 Viviendas de 47 metros</t>
  </si>
  <si>
    <t>Pagado ya</t>
  </si>
  <si>
    <t>Falta</t>
  </si>
  <si>
    <t>Porecntaje del total</t>
  </si>
  <si>
    <t>Contenido</t>
  </si>
  <si>
    <t>Costo</t>
  </si>
  <si>
    <t>OJO QUE NO SUMA 100%</t>
  </si>
  <si>
    <t>Valor de Compra</t>
  </si>
  <si>
    <t>Impuesto ITP</t>
  </si>
  <si>
    <t>Comision Inmobiliaria (IVA INC)</t>
  </si>
  <si>
    <t>Comision en valor</t>
  </si>
  <si>
    <t>Gestoria y registro (Estimado)</t>
  </si>
  <si>
    <t>Costo total compra</t>
  </si>
  <si>
    <t>Abogada</t>
  </si>
  <si>
    <t>Topografia</t>
  </si>
  <si>
    <t>Gestor Financiero (18 MEses)</t>
  </si>
  <si>
    <t>ICIO</t>
  </si>
  <si>
    <t>Tasa Urbanistica</t>
  </si>
  <si>
    <t>Arqueologo (Estimado)</t>
  </si>
  <si>
    <t>Diseño de interiores</t>
  </si>
  <si>
    <t>Arquitecto y Arquitecto Técnico</t>
  </si>
  <si>
    <t>Iberdrola - Connexion de linea transformacion(Estimado)</t>
  </si>
  <si>
    <t>Estudio Geotecnico</t>
  </si>
  <si>
    <t>Proyecto de Telecomunicaciones</t>
  </si>
  <si>
    <t>Construccion según presupuesto</t>
  </si>
  <si>
    <t>Resto Sofia</t>
  </si>
  <si>
    <t>OCT</t>
  </si>
  <si>
    <t>Seguro Decenal</t>
  </si>
  <si>
    <t>Seguro RC</t>
  </si>
  <si>
    <t>Seguro Afianzamiento</t>
  </si>
  <si>
    <t>Notaria (Division horizontal, agrupacion, declaracion de obra en construccion)</t>
  </si>
  <si>
    <t>Conexion Hidraqua</t>
  </si>
  <si>
    <t>Costo de amoblamiento total (Estimado)</t>
  </si>
  <si>
    <t>Cantidad de viviendas 47m</t>
  </si>
  <si>
    <t>Falta Pagar</t>
  </si>
  <si>
    <t>Cantidad de viviendas 57m</t>
  </si>
  <si>
    <t>Metros totales utiles solo viviendas</t>
  </si>
  <si>
    <t>Costo x metro utiles solo viviendas</t>
  </si>
  <si>
    <t>Metros totales utiles</t>
  </si>
  <si>
    <t>Costo x metro totales utiles</t>
  </si>
  <si>
    <t>Metros totales construidos</t>
  </si>
  <si>
    <t>Costo x metro totales construidos</t>
  </si>
  <si>
    <t>Metros totales todo incluido (Inc. descubiertos)</t>
  </si>
  <si>
    <t>Costo x metro todo incluido</t>
  </si>
  <si>
    <t>Costo Total proyecto sim amoblamiento</t>
  </si>
  <si>
    <t>Costo financiero (11,5%)</t>
  </si>
  <si>
    <t>Costo Total con Costo financiero total estimado 11,5%</t>
  </si>
  <si>
    <t>Costo por vivienda 57m (Estimado)</t>
  </si>
  <si>
    <t>Costo por vivienda 47m (Estimado)</t>
  </si>
  <si>
    <t>Precio de venta</t>
  </si>
  <si>
    <t>Con amoblamiento</t>
  </si>
  <si>
    <t>Cuota minima anual</t>
  </si>
  <si>
    <t>Descuento</t>
  </si>
  <si>
    <t>Precio con descuento</t>
  </si>
  <si>
    <t>Ganancia El Fortin</t>
  </si>
  <si>
    <t>Ingreso minimo</t>
  </si>
  <si>
    <t>Valor venta piso 57m sin amoblar</t>
  </si>
  <si>
    <t>Valor venta piso 47m sin amoblar</t>
  </si>
  <si>
    <t>Valor venta Garage</t>
  </si>
  <si>
    <t>Garages</t>
  </si>
  <si>
    <t>Amoblamiento Piso 57</t>
  </si>
  <si>
    <t>Amoblamiento Piso 47</t>
  </si>
  <si>
    <t>Total vendido sin amoblar (10% de descuento promedio)</t>
  </si>
  <si>
    <t>Ganancia por venta total antes de impuestos</t>
  </si>
  <si>
    <t>"La Hospitalidad Redefinida"</t>
  </si>
  <si>
    <t>Mision</t>
  </si>
  <si>
    <t>Redefinir la hospitalidad integrando vivienda, inversión y gestión profesional en un modelo digital, flexible y centrado en las personas, que eleve la experiencia de habitar e invertir a un nuevo estándar.</t>
  </si>
  <si>
    <t>Vision</t>
  </si>
  <si>
    <t>Ser una referencia en el desarrollo inmobiliario moderno, reconocida por integrar construcción, gestión y digitalización para transformar el acceso a la inversión inmobiliaria mediante modelos inteligentes, sostenibles y orientados al largo plazo, generando valor constante para inversores, residentes y comunidades.</t>
  </si>
  <si>
    <t>10 razones para invertir en El Fortin de Riba Roja</t>
  </si>
  <si>
    <t>1. Invertís en ladrillo, sin dolores de cabeza
Real estate real, en España, sin lidiar con inquilinos, arreglos, seguros ni mantenimiento. Vos invertís, nosotros nos ocupamos de todo lo demás.
2. Rentabilidad clara y razonable: 6% a 9% anual
Un rendimiento estimado sobre valor de tasación, pensado para quien busca ganar bien sin correr riesgos innecesarios. No promesas mágicas: números sólidos.
3. España: un mercado que viene creciendo hace 15 años
El precio de la vivienda en España no para de crecer desde hace más de una década. No es una moda: es una tendencia sostenida.
4. Riba-roja: ciudad en expansión real
No es una apuesta al azar. Riba-roja de Túria crece, recibe población nueva y cada vez está más integrada al área metropolitana de Valencia.
5. Valencia a un paso (y sin auto)
Con metro directo a Valencia, vivís o alquilás con conexión rápida al centro, universidades, hospitales y empleo. Eso siempre suma valor.
6. Naturaleza al lado de casa
Estar a metros del Parque del Río Turia no es un detalle: es calidad de vida. Y la calidad de vida se alquila mejor y se revaloriza más.
7. Gestión profesional, de punta a punta
La administración queda en manos de profesionales que saben hacerlo mejor que nadie. Vos no improvisás ni aprendés a los golpes: entrás a un sistema que ya funciona.
8. Tu piso, cuando lo quieras
Invertís, pero seguís teniendo la posibilidad de usar el piso una vez al año para vos o tu familia. No es solo números: también es disfrute.
9. Reinvertir y crecer, sin empezar de cero
Si querés, podés reinvertir las ganancias en los próximos proyectos de El Fortín. Así armás un camino de crecimiento sin volver a buscar oportunidades desde cero.
10. Preventa con 10% de descuento. Solo 4 unidades!
Entrar en preventa significa comprar mejor desde el día uno. Un 15% de descuento que impacta directo en tu rentabilidad futura.</t>
  </si>
  <si>
    <t xml:space="preserve">Puerta </t>
  </si>
  <si>
    <t>Sup Util</t>
  </si>
  <si>
    <t>Comprador</t>
  </si>
  <si>
    <t>Fecha</t>
  </si>
  <si>
    <t>Formato de venta</t>
  </si>
  <si>
    <t>Monto final</t>
  </si>
  <si>
    <t>Ya pago</t>
  </si>
  <si>
    <t>Comision</t>
  </si>
  <si>
    <t>Alejandro Contenti y Daniela Hoffman</t>
  </si>
  <si>
    <t>47m</t>
  </si>
  <si>
    <t>57m</t>
  </si>
  <si>
    <t>Alquiler mensual largo plazo</t>
  </si>
  <si>
    <t>Alquiler mensual corto plazo</t>
  </si>
  <si>
    <t>Alquiler mensual vacaciones (65% ocupacion)</t>
  </si>
  <si>
    <t>Alquiler mensual vacaciones (80% ocupacion)</t>
  </si>
  <si>
    <t>Unidades</t>
  </si>
  <si>
    <t>Tamaño</t>
  </si>
  <si>
    <t>Tipo de alquiler</t>
  </si>
  <si>
    <t>Ingresos anuales</t>
  </si>
  <si>
    <t>Gastos Limpieza</t>
  </si>
  <si>
    <t>Gastos adicionales</t>
  </si>
  <si>
    <t>Luz, Agua</t>
  </si>
  <si>
    <t>Seguro</t>
  </si>
  <si>
    <t>Comunidad</t>
  </si>
  <si>
    <t>Comision El Fortin %</t>
  </si>
  <si>
    <t>Comisiones El Fortin €</t>
  </si>
  <si>
    <t>Neto Ingresos</t>
  </si>
  <si>
    <t>Precio Piso Mercado</t>
  </si>
  <si>
    <t>Gastos compra</t>
  </si>
  <si>
    <t>Mobiliario</t>
  </si>
  <si>
    <t>Renta anual bruto</t>
  </si>
  <si>
    <t>Renta anual inversion total</t>
  </si>
  <si>
    <t>Vacacional</t>
  </si>
  <si>
    <t>Corta duracion</t>
  </si>
  <si>
    <t>Larga Duracion Amoblado</t>
  </si>
  <si>
    <t>100.00 €</t>
  </si>
  <si>
    <t>Poinderacion</t>
  </si>
  <si>
    <t>Valor ponderado</t>
  </si>
  <si>
    <t>Comunidad de vecinos</t>
  </si>
  <si>
    <t>Comunidad de bienes</t>
  </si>
  <si>
    <t>Columna 1</t>
  </si>
  <si>
    <t>Garajes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</si>
</sst>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1]"/>
    <numFmt numFmtId="165" formatCode="0.000%"/>
    <numFmt numFmtId="166" formatCode="#,##0.00\ [$€-1]"/>
    <numFmt numFmtId="167" formatCode="0.000"/>
  </numFmts>
  <fonts count="10">
    <font>
      <sz val="10.0"/>
      <color rgb="FF000000"/>
      <name val="Arial"/>
      <scheme val="minor"/>
    </font>
    <font>
      <color rgb="FF000000"/>
      <name val="Arial"/>
      <scheme val="minor"/>
    </font>
    <font/>
    <font>
      <color theme="1"/>
      <name val="Arial"/>
    </font>
    <font>
      <color theme="1"/>
      <name val="Arial"/>
      <scheme val="minor"/>
    </font>
    <font>
      <b/>
      <color theme="1"/>
      <name val="Arial"/>
    </font>
    <font>
      <b/>
      <color theme="1"/>
      <name val="Arial"/>
      <scheme val="minor"/>
    </font>
    <font>
      <b/>
      <sz val="15.0"/>
      <color theme="1"/>
      <name val="Arial"/>
      <scheme val="minor"/>
    </font>
    <font>
      <sz val="15.0"/>
      <color theme="1"/>
      <name val="Arial"/>
      <scheme val="minor"/>
    </font>
    <font>
      <color rgb="FF434343"/>
      <name val="Roboto"/>
    </font>
  </fonts>
  <fills count="7">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F6F8F9"/>
        <bgColor rgb="FFF6F8F9"/>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2" fontId="3" numFmtId="0" xfId="0" applyAlignment="1" applyBorder="1" applyFont="1">
      <alignment shrinkToFit="0" vertical="bottom" wrapText="1"/>
    </xf>
    <xf borderId="3" fillId="2" fontId="3" numFmtId="0" xfId="0" applyAlignment="1" applyBorder="1" applyFont="1">
      <alignment readingOrder="0" shrinkToFit="0" vertical="bottom" wrapText="1"/>
    </xf>
    <xf borderId="3" fillId="0" fontId="3" numFmtId="0" xfId="0" applyAlignment="1" applyBorder="1" applyFont="1">
      <alignment shrinkToFit="0" vertical="bottom" wrapText="0"/>
    </xf>
    <xf borderId="3" fillId="0" fontId="3" numFmtId="164" xfId="0" applyAlignment="1" applyBorder="1" applyFont="1" applyNumberFormat="1">
      <alignment horizontal="right" shrinkToFit="0" vertical="bottom" wrapText="0"/>
    </xf>
    <xf borderId="3" fillId="0" fontId="4" numFmtId="0" xfId="0" applyAlignment="1" applyBorder="1" applyFont="1">
      <alignment readingOrder="0"/>
    </xf>
    <xf borderId="3" fillId="0" fontId="4" numFmtId="164" xfId="0" applyBorder="1" applyFont="1" applyNumberFormat="1"/>
    <xf borderId="3" fillId="0" fontId="4" numFmtId="165" xfId="0" applyBorder="1" applyFont="1" applyNumberFormat="1"/>
    <xf borderId="3" fillId="0" fontId="3" numFmtId="0" xfId="0" applyAlignment="1" applyBorder="1" applyFont="1">
      <alignment readingOrder="0" shrinkToFit="0" vertical="bottom" wrapText="0"/>
    </xf>
    <xf borderId="3" fillId="0" fontId="3" numFmtId="10" xfId="0" applyAlignment="1" applyBorder="1" applyFont="1" applyNumberFormat="1">
      <alignment horizontal="right" shrinkToFit="0" vertical="bottom" wrapText="0"/>
    </xf>
    <xf borderId="3" fillId="0" fontId="4" numFmtId="0" xfId="0" applyBorder="1" applyFont="1"/>
    <xf borderId="3" fillId="0" fontId="4" numFmtId="10" xfId="0" applyBorder="1" applyFont="1" applyNumberFormat="1"/>
    <xf borderId="3" fillId="0" fontId="3" numFmtId="164" xfId="0" applyAlignment="1" applyBorder="1" applyFont="1" applyNumberFormat="1">
      <alignment horizontal="right" readingOrder="0" shrinkToFit="0" vertical="bottom" wrapText="0"/>
    </xf>
    <xf borderId="3" fillId="0" fontId="5" numFmtId="0" xfId="0" applyAlignment="1" applyBorder="1" applyFont="1">
      <alignment readingOrder="0" shrinkToFit="0" vertical="bottom" wrapText="0"/>
    </xf>
    <xf borderId="3" fillId="0" fontId="5" numFmtId="164" xfId="0" applyAlignment="1" applyBorder="1" applyFont="1" applyNumberFormat="1">
      <alignment horizontal="right" shrinkToFit="0" vertical="bottom" wrapText="0"/>
    </xf>
    <xf borderId="3" fillId="0" fontId="3" numFmtId="166" xfId="0" applyAlignment="1" applyBorder="1" applyFont="1" applyNumberFormat="1">
      <alignment horizontal="right" readingOrder="0" shrinkToFit="0" vertical="bottom" wrapText="0"/>
    </xf>
    <xf borderId="3" fillId="0" fontId="4" numFmtId="166" xfId="0" applyBorder="1" applyFont="1" applyNumberFormat="1"/>
    <xf borderId="3" fillId="0" fontId="3" numFmtId="164" xfId="0" applyAlignment="1" applyBorder="1" applyFont="1" applyNumberFormat="1">
      <alignment horizontal="right" vertical="bottom"/>
    </xf>
    <xf borderId="3" fillId="0" fontId="3" numFmtId="166" xfId="0" applyAlignment="1" applyBorder="1" applyFont="1" applyNumberFormat="1">
      <alignment horizontal="right" shrinkToFit="0" vertical="bottom" wrapText="0"/>
    </xf>
    <xf borderId="3" fillId="0" fontId="4" numFmtId="166" xfId="0" applyBorder="1" applyFont="1" applyNumberFormat="1"/>
    <xf borderId="3" fillId="0" fontId="4" numFmtId="166" xfId="0" applyAlignment="1" applyBorder="1" applyFont="1" applyNumberFormat="1">
      <alignment readingOrder="0"/>
    </xf>
    <xf borderId="3" fillId="0" fontId="4" numFmtId="4" xfId="0" applyAlignment="1" applyBorder="1" applyFont="1" applyNumberFormat="1">
      <alignment readingOrder="0"/>
    </xf>
    <xf borderId="0" fillId="0" fontId="4" numFmtId="167" xfId="0" applyAlignment="1" applyFont="1" applyNumberFormat="1">
      <alignment readingOrder="0"/>
    </xf>
    <xf borderId="3" fillId="0" fontId="3" numFmtId="3" xfId="0" applyAlignment="1" applyBorder="1" applyFont="1" applyNumberFormat="1">
      <alignment horizontal="right" readingOrder="0" shrinkToFit="0" vertical="bottom" wrapText="0"/>
    </xf>
    <xf borderId="3" fillId="0" fontId="4" numFmtId="3" xfId="0" applyBorder="1" applyFont="1" applyNumberFormat="1"/>
    <xf borderId="3" fillId="0" fontId="3" numFmtId="0" xfId="0" applyAlignment="1" applyBorder="1" applyFont="1">
      <alignment readingOrder="0" vertical="bottom"/>
    </xf>
    <xf borderId="3" fillId="0" fontId="3" numFmtId="164" xfId="0" applyAlignment="1" applyBorder="1" applyFont="1" applyNumberFormat="1">
      <alignment horizontal="right" readingOrder="0" vertical="bottom"/>
    </xf>
    <xf borderId="3" fillId="0" fontId="6" numFmtId="0" xfId="0" applyAlignment="1" applyBorder="1" applyFont="1">
      <alignment readingOrder="0"/>
    </xf>
    <xf borderId="3" fillId="0" fontId="6" numFmtId="164" xfId="0" applyBorder="1" applyFont="1" applyNumberFormat="1"/>
    <xf borderId="3" fillId="0" fontId="5" numFmtId="3" xfId="0" applyAlignment="1" applyBorder="1" applyFont="1" applyNumberFormat="1">
      <alignment horizontal="right" readingOrder="0" shrinkToFit="0" vertical="bottom" wrapText="0"/>
    </xf>
    <xf borderId="0" fillId="0" fontId="6" numFmtId="0" xfId="0" applyFont="1"/>
    <xf borderId="0" fillId="0" fontId="6" numFmtId="0" xfId="0" applyAlignment="1" applyFont="1">
      <alignment readingOrder="0"/>
    </xf>
    <xf borderId="0" fillId="0" fontId="6" numFmtId="10" xfId="0" applyAlignment="1" applyFont="1" applyNumberFormat="1">
      <alignment readingOrder="0"/>
    </xf>
    <xf borderId="3" fillId="3" fontId="5" numFmtId="0" xfId="0" applyAlignment="1" applyBorder="1" applyFill="1" applyFont="1">
      <alignment readingOrder="0" shrinkToFit="0" vertical="bottom" wrapText="0"/>
    </xf>
    <xf borderId="3" fillId="3" fontId="5" numFmtId="164" xfId="0" applyAlignment="1" applyBorder="1" applyFont="1" applyNumberFormat="1">
      <alignment horizontal="right" shrinkToFit="0" vertical="bottom" wrapText="0"/>
    </xf>
    <xf borderId="3" fillId="0" fontId="3" numFmtId="0" xfId="0" applyAlignment="1" applyBorder="1" applyFont="1">
      <alignment vertical="bottom"/>
    </xf>
    <xf borderId="3" fillId="0" fontId="3" numFmtId="164" xfId="0" applyAlignment="1" applyBorder="1" applyFont="1" applyNumberFormat="1">
      <alignment vertical="bottom"/>
    </xf>
    <xf borderId="3" fillId="0" fontId="5" numFmtId="0" xfId="0" applyAlignment="1" applyBorder="1" applyFont="1">
      <alignment readingOrder="0" vertical="bottom"/>
    </xf>
    <xf borderId="3" fillId="0" fontId="5" numFmtId="164" xfId="0" applyAlignment="1" applyBorder="1" applyFont="1" applyNumberFormat="1">
      <alignment horizontal="right" readingOrder="0" shrinkToFit="0" vertical="bottom" wrapText="0"/>
    </xf>
    <xf borderId="3" fillId="0" fontId="4" numFmtId="9" xfId="0" applyAlignment="1" applyBorder="1" applyFont="1" applyNumberFormat="1">
      <alignment readingOrder="0"/>
    </xf>
    <xf borderId="3" fillId="0" fontId="5" numFmtId="0" xfId="0" applyAlignment="1" applyBorder="1" applyFont="1">
      <alignment shrinkToFit="0" vertical="bottom" wrapText="0"/>
    </xf>
    <xf borderId="0" fillId="0" fontId="6" numFmtId="166" xfId="0" applyFont="1" applyNumberFormat="1"/>
    <xf borderId="4" fillId="4" fontId="5" numFmtId="0" xfId="0" applyAlignment="1" applyBorder="1" applyFill="1" applyFont="1">
      <alignment readingOrder="0" shrinkToFit="0" vertical="bottom" wrapText="0"/>
    </xf>
    <xf borderId="4" fillId="4" fontId="5" numFmtId="164" xfId="0" applyAlignment="1" applyBorder="1" applyFont="1" applyNumberFormat="1">
      <alignment horizontal="right" shrinkToFit="0" vertical="bottom" wrapText="0"/>
    </xf>
    <xf borderId="5" fillId="0" fontId="5" numFmtId="0" xfId="0" applyAlignment="1" applyBorder="1" applyFont="1">
      <alignment readingOrder="0" shrinkToFit="0" vertical="bottom" wrapText="0"/>
    </xf>
    <xf borderId="5" fillId="0" fontId="5" numFmtId="164" xfId="0" applyAlignment="1" applyBorder="1" applyFont="1" applyNumberFormat="1">
      <alignment horizontal="right" readingOrder="0" shrinkToFit="0" vertical="bottom" wrapText="0"/>
    </xf>
    <xf borderId="0" fillId="0" fontId="5" numFmtId="0" xfId="0" applyAlignment="1" applyFont="1">
      <alignment readingOrder="0" shrinkToFit="0" vertical="bottom" wrapText="0"/>
    </xf>
    <xf borderId="0" fillId="0" fontId="5" numFmtId="164" xfId="0" applyAlignment="1" applyFont="1" applyNumberFormat="1">
      <alignment horizontal="right" readingOrder="0" shrinkToFit="0" vertical="bottom" wrapText="0"/>
    </xf>
    <xf borderId="0" fillId="0" fontId="3" numFmtId="0" xfId="0" applyAlignment="1" applyFont="1">
      <alignment readingOrder="0" vertical="bottom"/>
    </xf>
    <xf borderId="0" fillId="0" fontId="5" numFmtId="0" xfId="0" applyAlignment="1" applyFont="1">
      <alignment shrinkToFit="0" vertical="bottom" wrapText="0"/>
    </xf>
    <xf borderId="0" fillId="0" fontId="5" numFmtId="10" xfId="0" applyAlignment="1" applyFont="1" applyNumberFormat="1">
      <alignment horizontal="right" shrinkToFit="0" vertical="bottom" wrapText="0"/>
    </xf>
    <xf borderId="0" fillId="0" fontId="3" numFmtId="10" xfId="0" applyAlignment="1" applyFont="1" applyNumberFormat="1">
      <alignment horizontal="right" vertical="bottom"/>
    </xf>
    <xf borderId="0" fillId="0" fontId="7" numFmtId="0" xfId="0" applyAlignment="1" applyFont="1">
      <alignment readingOrder="0"/>
    </xf>
    <xf borderId="0" fillId="0" fontId="8" numFmtId="0" xfId="0" applyAlignment="1" applyFont="1">
      <alignment readingOrder="0" shrinkToFit="0" wrapText="1"/>
    </xf>
    <xf borderId="0" fillId="0" fontId="8" numFmtId="0" xfId="0" applyFont="1"/>
    <xf borderId="0" fillId="0" fontId="4" numFmtId="0" xfId="0" applyAlignment="1" applyFont="1">
      <alignment readingOrder="0"/>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49" xfId="0" applyAlignment="1" applyFont="1" applyNumberFormat="1">
      <alignment horizontal="lef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xf borderId="0" fillId="0" fontId="6" numFmtId="0" xfId="0" applyAlignment="1" applyFont="1">
      <alignment readingOrder="0" shrinkToFit="0" wrapText="1"/>
    </xf>
    <xf borderId="0" fillId="0" fontId="6" numFmtId="49" xfId="0" applyAlignment="1" applyFont="1" applyNumberFormat="1">
      <alignment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3" fillId="0" fontId="6" numFmtId="0" xfId="0" applyAlignment="1" applyBorder="1" applyFont="1">
      <alignment shrinkToFit="0" wrapText="1"/>
    </xf>
    <xf borderId="3" fillId="0" fontId="6" numFmtId="0" xfId="0" applyAlignment="1" applyBorder="1" applyFont="1">
      <alignment readingOrder="0" shrinkToFit="0" wrapText="1"/>
    </xf>
    <xf borderId="0" fillId="0" fontId="6" numFmtId="0" xfId="0" applyAlignment="1" applyFont="1">
      <alignment horizontal="left" readingOrder="0" shrinkToFit="0" vertical="center" wrapText="1"/>
    </xf>
    <xf borderId="0" fillId="0" fontId="6" numFmtId="49" xfId="0" applyAlignment="1" applyFont="1" applyNumberFormat="1">
      <alignment horizontal="lef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4" numFmtId="166" xfId="0" applyAlignment="1" applyFont="1" applyNumberFormat="1">
      <alignment shrinkToFit="0" vertical="center" wrapText="0"/>
    </xf>
    <xf borderId="0" fillId="0" fontId="4" numFmtId="166" xfId="0" applyAlignment="1" applyFont="1" applyNumberFormat="1">
      <alignment readingOrder="0" shrinkToFit="0" vertical="center" wrapText="0"/>
    </xf>
    <xf borderId="0" fillId="0" fontId="4" numFmtId="10" xfId="0" applyAlignment="1" applyFont="1" applyNumberFormat="1">
      <alignment readingOrder="0" shrinkToFit="0" vertical="center" wrapText="0"/>
    </xf>
    <xf borderId="0" fillId="0" fontId="4" numFmtId="164" xfId="0" applyAlignment="1" applyFont="1" applyNumberFormat="1">
      <alignment shrinkToFit="0" vertical="center" wrapText="0"/>
    </xf>
    <xf borderId="0" fillId="0" fontId="4" numFmtId="166" xfId="0" applyAlignment="1" applyFont="1" applyNumberFormat="1">
      <alignment shrinkToFit="0" vertical="center" wrapText="0"/>
    </xf>
    <xf borderId="0" fillId="0" fontId="4" numFmtId="10" xfId="0" applyAlignment="1" applyFont="1" applyNumberFormat="1">
      <alignment shrinkToFit="0" vertical="center" wrapText="0"/>
    </xf>
    <xf borderId="0" fillId="0" fontId="4" numFmtId="0" xfId="0" applyAlignment="1" applyFont="1">
      <alignment readingOrder="0" shrinkToFit="0" vertical="center" wrapText="0"/>
    </xf>
    <xf borderId="0" fillId="0" fontId="4" numFmtId="166" xfId="0" applyAlignment="1" applyFont="1" applyNumberFormat="1">
      <alignment readingOrder="0" shrinkToFit="0" vertical="center" wrapText="0"/>
    </xf>
    <xf borderId="0" fillId="0" fontId="6" numFmtId="166" xfId="0" applyAlignment="1" applyFont="1" applyNumberFormat="1">
      <alignment shrinkToFit="0" vertical="center" wrapText="0"/>
    </xf>
    <xf borderId="0" fillId="0" fontId="4" numFmtId="166" xfId="0" applyAlignment="1" applyFont="1" applyNumberFormat="1">
      <alignment shrinkToFit="0" vertical="center" wrapText="0"/>
    </xf>
    <xf borderId="0" fillId="0" fontId="6" numFmtId="10" xfId="0" applyAlignment="1" applyFont="1" applyNumberFormat="1">
      <alignment shrinkToFit="0" vertical="center" wrapText="0"/>
    </xf>
    <xf borderId="6" fillId="5" fontId="9" numFmtId="166" xfId="0" applyAlignment="1" applyBorder="1" applyFill="1" applyFont="1" applyNumberFormat="1">
      <alignment horizontal="right" shrinkToFit="0" vertical="center" wrapText="0"/>
    </xf>
    <xf borderId="7" fillId="6" fontId="9" numFmtId="166" xfId="0" applyAlignment="1" applyBorder="1" applyFill="1" applyFont="1" applyNumberFormat="1">
      <alignment horizontal="right" shrinkToFit="0" vertical="center" wrapText="0"/>
    </xf>
    <xf borderId="0" fillId="0" fontId="4" numFmtId="0" xfId="0" applyAlignment="1" applyFont="1">
      <alignment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s>
  <tableStyles count="5">
    <tableStyle count="5" pivot="0" name="8.Ventas-style">
      <tableStyleElement dxfId="1" type="headerRow"/>
      <tableStyleElement dxfId="2" type="firstRowStripe"/>
      <tableStyleElement dxfId="3" type="secondRowStripe"/>
      <tableStyleElement dxfId="4" type="totalRow"/>
      <tableStyleElement dxfId="5" size="0" type="wholeTable"/>
    </tableStyle>
    <tableStyle count="5" pivot="0" name="9.Simulacion-style">
      <tableStyleElement dxfId="1" type="headerRow"/>
      <tableStyleElement dxfId="2" type="firstRowStripe"/>
      <tableStyleElement dxfId="3" type="secondRowStripe"/>
      <tableStyleElement dxfId="4" type="totalRow"/>
      <tableStyleElement dxfId="5" size="0" type="wholeTable"/>
    </tableStyle>
    <tableStyle count="5" pivot="0" name="9.Simulacion-style 2">
      <tableStyleElement dxfId="1" type="headerRow"/>
      <tableStyleElement dxfId="2" type="firstRowStripe"/>
      <tableStyleElement dxfId="3" type="secondRowStripe"/>
      <tableStyleElement dxfId="4" type="totalRow"/>
      <tableStyleElement dxfId="5" size="0" type="wholeTable"/>
    </tableStyle>
    <tableStyle count="5" pivot="0" name="9.Simulacion-style 3">
      <tableStyleElement dxfId="1" type="headerRow"/>
      <tableStyleElement dxfId="2" type="firstRowStripe"/>
      <tableStyleElement dxfId="3" type="secondRowStripe"/>
      <tableStyleElement dxfId="4" type="totalRow"/>
      <tableStyleElement dxfId="5" size="0" type="wholeTable"/>
    </tableStyle>
    <tableStyle count="5" pivot="0" name="12.% m2-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1</xdr:row>
      <xdr:rowOff>0</xdr:rowOff>
    </xdr:from>
    <xdr:ext cx="6734175" cy="7029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H14" displayName="Ventas" name="Ventas" id="1">
  <tableColumns count="8">
    <tableColumn name="Puerta " id="1"/>
    <tableColumn name="Sup Util" id="2"/>
    <tableColumn name="Comprador" id="3"/>
    <tableColumn name="Fecha" id="4"/>
    <tableColumn name="Formato de venta" id="5"/>
    <tableColumn name="Monto final" id="6"/>
    <tableColumn name="Ya pago" id="7"/>
    <tableColumn name="Comision" id="8"/>
  </tableColumns>
  <tableStyleInfo name="8.Ventas-style" showColumnStripes="0" showFirstColumn="1" showLastColumn="1" showRowStripes="1"/>
</table>
</file>

<file path=xl/tables/table2.xml><?xml version="1.0" encoding="utf-8"?>
<table xmlns="http://schemas.openxmlformats.org/spreadsheetml/2006/main" totalsRowCount="1" ref="A16:Q27" displayName="Simulacion_Deseado" name="Simulacion_Deseado" id="2">
  <tableColumns count="17">
    <tableColumn name="Unidades" id="1"/>
    <tableColumn name="Tamaño" id="2"/>
    <tableColumn name="Tipo de alquiler" id="3"/>
    <tableColumn name="Ingresos anuales" id="4"/>
    <tableColumn totalsRowFunction="custom" name="Gastos Limpieza" id="5"/>
    <tableColumn name="Gastos adicionales" id="6"/>
    <tableColumn name="Luz, Agua" id="7"/>
    <tableColumn name="Seguro" id="8"/>
    <tableColumn name="Comunidad" id="9"/>
    <tableColumn name="Comision El Fortin %" id="10"/>
    <tableColumn totalsRowFunction="custom" name="Comisiones El Fortin €" id="11"/>
    <tableColumn totalsRowFunction="custom" name="Neto Ingresos" id="12"/>
    <tableColumn totalsRowFunction="custom" name="Precio Piso Mercado" id="13"/>
    <tableColumn totalsRowFunction="custom" name="Gastos compra" id="14"/>
    <tableColumn totalsRowFunction="custom" name="Mobiliario" id="15"/>
    <tableColumn totalsRowFunction="custom" name="Renta anual bruto" id="16"/>
    <tableColumn totalsRowFunction="custom" name="Renta anual inversion total" id="17"/>
  </tableColumns>
  <tableStyleInfo name="9.Simulacion-style" showColumnStripes="0" showFirstColumn="1" showLastColumn="1" showRowStripes="1"/>
</table>
</file>

<file path=xl/tables/table3.xml><?xml version="1.0" encoding="utf-8"?>
<table xmlns="http://schemas.openxmlformats.org/spreadsheetml/2006/main" totalsRowCount="1" ref="A31:Q42" displayName="WWorst_Case_Scenario" name="WWorst_Case_Scenario" id="3">
  <tableColumns count="17">
    <tableColumn name="Unidades" id="1"/>
    <tableColumn name="Tamaño" id="2"/>
    <tableColumn name="Tipo de alquiler" id="3"/>
    <tableColumn name="Ingresos anuales" id="4"/>
    <tableColumn totalsRowFunction="custom" name="Gastos Limpieza" id="5"/>
    <tableColumn totalsRowFunction="custom" name="Gastos adicionales" id="6"/>
    <tableColumn totalsRowLabel="100.00 €" name="Luz, Agua" id="7"/>
    <tableColumn totalsRowFunction="custom" name="Seguro" id="8"/>
    <tableColumn totalsRowFunction="custom" name="Comunidad" id="9"/>
    <tableColumn name="Comision El Fortin %" id="10"/>
    <tableColumn totalsRowFunction="custom" name="Comisiones El Fortin €" id="11"/>
    <tableColumn totalsRowFunction="custom" name="Neto Ingresos" id="12"/>
    <tableColumn totalsRowFunction="custom" name="Precio Piso Mercado" id="13"/>
    <tableColumn totalsRowFunction="custom" name="Gastos compra" id="14"/>
    <tableColumn totalsRowFunction="custom" name="Mobiliario" id="15"/>
    <tableColumn totalsRowFunction="custom" name="Renta anual bruto" id="16"/>
    <tableColumn totalsRowFunction="custom" name="Renta anual inversion total" id="17"/>
  </tableColumns>
  <tableStyleInfo name="9.Simulacion-style 2" showColumnStripes="0" showFirstColumn="1" showLastColumn="1" showRowStripes="1"/>
</table>
</file>

<file path=xl/tables/table4.xml><?xml version="1.0" encoding="utf-8"?>
<table xmlns="http://schemas.openxmlformats.org/spreadsheetml/2006/main" totalsRowCount="1" ref="A46:Q57" displayName="Best_Case_Scenario" name="Best_Case_Scenario" id="4">
  <tableColumns count="17">
    <tableColumn name="Unidades" id="1"/>
    <tableColumn name="Tamaño" id="2"/>
    <tableColumn name="Tipo de alquiler" id="3"/>
    <tableColumn name="Ingresos anuales" id="4"/>
    <tableColumn totalsRowFunction="custom" name="Gastos Limpieza" id="5"/>
    <tableColumn name="Gastos adicionales" id="6"/>
    <tableColumn name="Luz, Agua" id="7"/>
    <tableColumn name="Seguro" id="8"/>
    <tableColumn name="Comunidad" id="9"/>
    <tableColumn name="Comision El Fortin %" id="10"/>
    <tableColumn totalsRowFunction="custom" name="Comisiones El Fortin €" id="11"/>
    <tableColumn totalsRowFunction="custom" name="Neto Ingresos" id="12"/>
    <tableColumn totalsRowFunction="custom" name="Precio Piso Mercado" id="13"/>
    <tableColumn totalsRowFunction="custom" name="Gastos compra" id="14"/>
    <tableColumn totalsRowFunction="custom" name="Mobiliario" id="15"/>
    <tableColumn totalsRowFunction="custom" name="Renta anual bruto" id="16"/>
    <tableColumn totalsRowFunction="custom" name="Renta anual inversion total" id="17"/>
  </tableColumns>
  <tableStyleInfo name="9.Simulacion-style 3" showColumnStripes="0" showFirstColumn="1" showLastColumn="1" showRowStripes="1"/>
</table>
</file>

<file path=xl/tables/table5.xml><?xml version="1.0" encoding="utf-8"?>
<table xmlns="http://schemas.openxmlformats.org/spreadsheetml/2006/main" totalsRowCount="1" ref="A1:G14" displayName="Tabla_4" name="Tabla_4" id="5">
  <tableColumns count="7">
    <tableColumn name="Puerta " id="1"/>
    <tableColumn totalsRowFunction="custom" name="Sup Util" id="2"/>
    <tableColumn name="Poinderacion" id="3"/>
    <tableColumn name="Valor ponderado" id="4"/>
    <tableColumn name="Comunidad de vecinos" id="5"/>
    <tableColumn name="Comunidad de bienes" id="6"/>
    <tableColumn name="Columna 1" id="7"/>
  </tableColumns>
  <tableStyleInfo name="12.% m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6.0"/>
    <col customWidth="1" min="3" max="3" width="16.25"/>
    <col customWidth="1" min="4" max="4" width="16.88"/>
    <col customWidth="1" min="5" max="5" width="15.25"/>
    <col customWidth="1" min="6" max="6" width="17.38"/>
    <col customWidth="1" min="8" max="8" width="15.13"/>
    <col customWidth="1" min="15" max="15" width="15.38"/>
  </cols>
  <sheetData>
    <row r="1">
      <c r="A1" s="1" t="s">
        <v>0</v>
      </c>
      <c r="B1" s="2"/>
      <c r="C1" s="3" t="s">
        <v>1</v>
      </c>
      <c r="D1" s="3" t="s">
        <v>2</v>
      </c>
      <c r="E1" s="3" t="s">
        <v>3</v>
      </c>
    </row>
    <row r="2">
      <c r="A2" s="3" t="s">
        <v>4</v>
      </c>
      <c r="B2" s="3" t="s">
        <v>5</v>
      </c>
      <c r="C2" s="3"/>
      <c r="D2" s="3"/>
      <c r="E2" s="4" t="s">
        <v>6</v>
      </c>
    </row>
    <row r="3">
      <c r="A3" s="5" t="s">
        <v>7</v>
      </c>
      <c r="B3" s="6">
        <v>200000.0</v>
      </c>
      <c r="C3" s="7">
        <v>200000.0</v>
      </c>
      <c r="D3" s="8">
        <f t="shared" ref="D3:D7" si="1">B3-C3</f>
        <v>0</v>
      </c>
      <c r="E3" s="9">
        <f t="shared" ref="E3:E4" si="2">B3/$B$43</f>
        <v>0.1134998695</v>
      </c>
    </row>
    <row r="4">
      <c r="A4" s="10" t="s">
        <v>8</v>
      </c>
      <c r="B4" s="6">
        <f>B3*0.1</f>
        <v>20000</v>
      </c>
      <c r="C4" s="7">
        <v>20000.0</v>
      </c>
      <c r="D4" s="8">
        <f t="shared" si="1"/>
        <v>0</v>
      </c>
      <c r="E4" s="9">
        <f t="shared" si="2"/>
        <v>0.01134998695</v>
      </c>
    </row>
    <row r="5">
      <c r="A5" s="5" t="s">
        <v>9</v>
      </c>
      <c r="B5" s="11">
        <f>0.03*1.21</f>
        <v>0.0363</v>
      </c>
      <c r="C5" s="12"/>
      <c r="D5" s="13">
        <f t="shared" si="1"/>
        <v>0.0363</v>
      </c>
      <c r="E5" s="9"/>
    </row>
    <row r="6">
      <c r="A6" s="5" t="s">
        <v>10</v>
      </c>
      <c r="B6" s="6">
        <f>B3*B5</f>
        <v>7260</v>
      </c>
      <c r="C6" s="7">
        <v>7260.0</v>
      </c>
      <c r="D6" s="8">
        <f t="shared" si="1"/>
        <v>0</v>
      </c>
      <c r="E6" s="9">
        <f t="shared" ref="E6:E7" si="3">B6/$B$43</f>
        <v>0.004120045262</v>
      </c>
    </row>
    <row r="7">
      <c r="A7" s="5" t="s">
        <v>11</v>
      </c>
      <c r="B7" s="14">
        <v>1700.0</v>
      </c>
      <c r="C7" s="7">
        <v>1700.0</v>
      </c>
      <c r="D7" s="8">
        <f t="shared" si="1"/>
        <v>0</v>
      </c>
      <c r="E7" s="9">
        <f t="shared" si="3"/>
        <v>0.0009647488905</v>
      </c>
    </row>
    <row r="8">
      <c r="A8" s="5"/>
      <c r="B8" s="14"/>
      <c r="C8" s="12"/>
      <c r="D8" s="12"/>
      <c r="E8" s="9"/>
    </row>
    <row r="9">
      <c r="A9" s="15" t="s">
        <v>12</v>
      </c>
      <c r="B9" s="16">
        <f>SUM(+B3+B4+B6+B7+B8)</f>
        <v>228960</v>
      </c>
      <c r="C9" s="12"/>
      <c r="D9" s="12"/>
      <c r="E9" s="9">
        <f>B9/$B$43</f>
        <v>0.1299346506</v>
      </c>
    </row>
    <row r="10">
      <c r="A10" s="5"/>
      <c r="B10" s="14"/>
      <c r="C10" s="12"/>
      <c r="D10" s="12"/>
      <c r="E10" s="9"/>
    </row>
    <row r="11">
      <c r="A11" s="10" t="s">
        <v>13</v>
      </c>
      <c r="B11" s="14">
        <v>8000.0</v>
      </c>
      <c r="C11" s="7">
        <v>3872.0</v>
      </c>
      <c r="D11" s="8">
        <f t="shared" ref="D11:D25" si="4">B11-C11</f>
        <v>4128</v>
      </c>
      <c r="E11" s="9">
        <f t="shared" ref="E11:E30" si="5">B11/$B$43</f>
        <v>0.004539994779</v>
      </c>
    </row>
    <row r="12">
      <c r="A12" s="10" t="s">
        <v>14</v>
      </c>
      <c r="B12" s="17">
        <v>907.5</v>
      </c>
      <c r="C12" s="7">
        <v>907.5</v>
      </c>
      <c r="D12" s="18">
        <f t="shared" si="4"/>
        <v>0</v>
      </c>
      <c r="E12" s="9">
        <f t="shared" si="5"/>
        <v>0.0005150056577</v>
      </c>
    </row>
    <row r="13">
      <c r="A13" s="10" t="s">
        <v>15</v>
      </c>
      <c r="B13" s="19">
        <f>160*18</f>
        <v>2880</v>
      </c>
      <c r="C13" s="7">
        <f>160*6</f>
        <v>960</v>
      </c>
      <c r="D13" s="8">
        <f t="shared" si="4"/>
        <v>1920</v>
      </c>
      <c r="E13" s="9">
        <f t="shared" si="5"/>
        <v>0.00163439812</v>
      </c>
    </row>
    <row r="14">
      <c r="A14" s="10" t="s">
        <v>16</v>
      </c>
      <c r="B14" s="20">
        <v>23766.64</v>
      </c>
      <c r="C14" s="20">
        <v>23766.64</v>
      </c>
      <c r="D14" s="21">
        <f t="shared" si="4"/>
        <v>0</v>
      </c>
      <c r="E14" s="9">
        <f t="shared" si="5"/>
        <v>0.01348755269</v>
      </c>
    </row>
    <row r="15">
      <c r="A15" s="10" t="s">
        <v>17</v>
      </c>
      <c r="B15" s="20">
        <v>9902.77</v>
      </c>
      <c r="C15" s="20">
        <v>9902.77</v>
      </c>
      <c r="D15" s="21">
        <f t="shared" si="4"/>
        <v>0</v>
      </c>
      <c r="E15" s="9">
        <f t="shared" si="5"/>
        <v>0.005619815512</v>
      </c>
    </row>
    <row r="16">
      <c r="A16" s="10" t="s">
        <v>18</v>
      </c>
      <c r="B16" s="22">
        <v>2000.0</v>
      </c>
      <c r="C16" s="7">
        <v>371.0</v>
      </c>
      <c r="D16" s="18">
        <f t="shared" si="4"/>
        <v>1629</v>
      </c>
      <c r="E16" s="9">
        <f t="shared" si="5"/>
        <v>0.001134998695</v>
      </c>
    </row>
    <row r="17">
      <c r="A17" s="10" t="s">
        <v>19</v>
      </c>
      <c r="B17" s="17">
        <v>6677.0</v>
      </c>
      <c r="C17" s="7">
        <v>2000.0</v>
      </c>
      <c r="D17" s="18">
        <f t="shared" si="4"/>
        <v>4677</v>
      </c>
      <c r="E17" s="9">
        <f t="shared" si="5"/>
        <v>0.003789193142</v>
      </c>
    </row>
    <row r="18">
      <c r="A18" s="10" t="s">
        <v>20</v>
      </c>
      <c r="B18" s="17">
        <v>53000.0</v>
      </c>
      <c r="C18" s="7">
        <v>19080.0</v>
      </c>
      <c r="D18" s="18">
        <f t="shared" si="4"/>
        <v>33920</v>
      </c>
      <c r="E18" s="9">
        <f t="shared" si="5"/>
        <v>0.03007746541</v>
      </c>
    </row>
    <row r="19">
      <c r="A19" s="10" t="s">
        <v>21</v>
      </c>
      <c r="B19" s="17">
        <v>23000.0</v>
      </c>
      <c r="C19" s="12"/>
      <c r="D19" s="18">
        <f t="shared" si="4"/>
        <v>23000</v>
      </c>
      <c r="E19" s="9">
        <f t="shared" si="5"/>
        <v>0.01305248499</v>
      </c>
    </row>
    <row r="20">
      <c r="A20" s="10" t="s">
        <v>22</v>
      </c>
      <c r="B20" s="17">
        <v>1215.0</v>
      </c>
      <c r="C20" s="23">
        <v>1470.15</v>
      </c>
      <c r="D20" s="18">
        <f t="shared" si="4"/>
        <v>-255.15</v>
      </c>
      <c r="E20" s="9">
        <f t="shared" si="5"/>
        <v>0.000689511707</v>
      </c>
    </row>
    <row r="21">
      <c r="A21" s="10" t="s">
        <v>23</v>
      </c>
      <c r="B21" s="17">
        <v>4000.0</v>
      </c>
      <c r="C21" s="12"/>
      <c r="D21" s="18">
        <f t="shared" si="4"/>
        <v>4000</v>
      </c>
      <c r="E21" s="9">
        <f t="shared" si="5"/>
        <v>0.002269997389</v>
      </c>
      <c r="K21" s="24"/>
    </row>
    <row r="22">
      <c r="A22" s="10" t="s">
        <v>24</v>
      </c>
      <c r="B22" s="17">
        <v>1014982.69</v>
      </c>
      <c r="C22" s="12"/>
      <c r="D22" s="18">
        <f t="shared" si="4"/>
        <v>1014982.69</v>
      </c>
      <c r="E22" s="9">
        <f t="shared" si="5"/>
        <v>0.5760020141</v>
      </c>
    </row>
    <row r="23">
      <c r="A23" s="10" t="s">
        <v>25</v>
      </c>
      <c r="B23" s="17">
        <v>155000.0</v>
      </c>
      <c r="C23" s="12"/>
      <c r="D23" s="18">
        <f t="shared" si="4"/>
        <v>155000</v>
      </c>
      <c r="E23" s="9">
        <f t="shared" si="5"/>
        <v>0.08796239884</v>
      </c>
    </row>
    <row r="24">
      <c r="A24" s="10" t="s">
        <v>26</v>
      </c>
      <c r="B24" s="17">
        <v>3482.0</v>
      </c>
      <c r="C24" s="12"/>
      <c r="D24" s="18">
        <f t="shared" si="4"/>
        <v>3482</v>
      </c>
      <c r="E24" s="9">
        <f t="shared" si="5"/>
        <v>0.001976032727</v>
      </c>
    </row>
    <row r="25">
      <c r="A25" s="10" t="s">
        <v>27</v>
      </c>
      <c r="B25" s="17">
        <v>3000.0</v>
      </c>
      <c r="C25" s="12"/>
      <c r="D25" s="18">
        <f t="shared" si="4"/>
        <v>3000</v>
      </c>
      <c r="E25" s="9">
        <f t="shared" si="5"/>
        <v>0.001702498042</v>
      </c>
    </row>
    <row r="26">
      <c r="A26" s="10" t="s">
        <v>28</v>
      </c>
      <c r="B26" s="25">
        <v>600.0</v>
      </c>
      <c r="C26" s="12"/>
      <c r="D26" s="12"/>
      <c r="E26" s="9">
        <f t="shared" si="5"/>
        <v>0.0003404996084</v>
      </c>
    </row>
    <row r="27">
      <c r="A27" s="10" t="s">
        <v>29</v>
      </c>
      <c r="B27" s="25"/>
      <c r="C27" s="12"/>
      <c r="D27" s="12"/>
      <c r="E27" s="9">
        <f t="shared" si="5"/>
        <v>0</v>
      </c>
    </row>
    <row r="28">
      <c r="A28" s="10" t="s">
        <v>30</v>
      </c>
      <c r="B28" s="25">
        <v>35000.0</v>
      </c>
      <c r="C28" s="12"/>
      <c r="D28" s="26">
        <f t="shared" ref="D28:D30" si="6">B28-C28</f>
        <v>35000</v>
      </c>
      <c r="E28" s="9">
        <f t="shared" si="5"/>
        <v>0.01986247716</v>
      </c>
    </row>
    <row r="29">
      <c r="A29" s="10" t="s">
        <v>31</v>
      </c>
      <c r="B29" s="25">
        <v>4000.0</v>
      </c>
      <c r="C29" s="12"/>
      <c r="D29" s="26">
        <f t="shared" si="6"/>
        <v>4000</v>
      </c>
      <c r="E29" s="9">
        <f t="shared" si="5"/>
        <v>0.002269997389</v>
      </c>
    </row>
    <row r="30">
      <c r="A30" s="27" t="s">
        <v>32</v>
      </c>
      <c r="B30" s="28">
        <v>180000.0</v>
      </c>
      <c r="C30" s="12"/>
      <c r="D30" s="8">
        <f t="shared" si="6"/>
        <v>180000</v>
      </c>
      <c r="E30" s="9">
        <f t="shared" si="5"/>
        <v>0.1021498825</v>
      </c>
    </row>
    <row r="31">
      <c r="A31" s="10" t="s">
        <v>33</v>
      </c>
      <c r="B31" s="25">
        <v>4.0</v>
      </c>
      <c r="C31" s="29" t="s">
        <v>34</v>
      </c>
      <c r="D31" s="30">
        <f>SUM(D3:D30)</f>
        <v>1468483.576</v>
      </c>
      <c r="E31" s="12"/>
    </row>
    <row r="32">
      <c r="A32" s="10" t="s">
        <v>35</v>
      </c>
      <c r="B32" s="25">
        <v>6.0</v>
      </c>
    </row>
    <row r="33">
      <c r="A33" s="15" t="s">
        <v>36</v>
      </c>
      <c r="B33" s="31">
        <v>530.0</v>
      </c>
    </row>
    <row r="34">
      <c r="A34" s="15" t="s">
        <v>37</v>
      </c>
      <c r="B34" s="30">
        <f>B43/B33</f>
        <v>3324.748234</v>
      </c>
      <c r="C34" s="32"/>
    </row>
    <row r="35">
      <c r="A35" s="15" t="s">
        <v>38</v>
      </c>
      <c r="B35" s="31">
        <v>742.0</v>
      </c>
    </row>
    <row r="36">
      <c r="A36" s="15" t="s">
        <v>39</v>
      </c>
      <c r="B36" s="30">
        <f>B43/B35</f>
        <v>2374.820167</v>
      </c>
      <c r="C36" s="32"/>
    </row>
    <row r="37">
      <c r="A37" s="15" t="s">
        <v>40</v>
      </c>
      <c r="B37" s="31">
        <v>831.0</v>
      </c>
    </row>
    <row r="38">
      <c r="A38" s="15" t="s">
        <v>41</v>
      </c>
      <c r="B38" s="30">
        <f>B43/B37</f>
        <v>2120.477213</v>
      </c>
      <c r="C38" s="32"/>
    </row>
    <row r="39">
      <c r="A39" s="15" t="s">
        <v>42</v>
      </c>
      <c r="B39" s="31">
        <v>1039.0</v>
      </c>
    </row>
    <row r="40">
      <c r="A40" s="15" t="s">
        <v>43</v>
      </c>
      <c r="B40" s="30">
        <f>B43/B39</f>
        <v>1695.973594</v>
      </c>
      <c r="C40" s="32"/>
    </row>
    <row r="41">
      <c r="A41" s="15" t="s">
        <v>44</v>
      </c>
      <c r="B41" s="16">
        <f>sum(B9:B29)</f>
        <v>1580373.6</v>
      </c>
    </row>
    <row r="42">
      <c r="A42" s="15" t="s">
        <v>45</v>
      </c>
      <c r="B42" s="16">
        <f>B41*0.15</f>
        <v>237056.04</v>
      </c>
      <c r="C42" s="33"/>
    </row>
    <row r="43">
      <c r="A43" s="15" t="s">
        <v>46</v>
      </c>
      <c r="B43" s="16">
        <f>B41*1.115</f>
        <v>1762116.564</v>
      </c>
      <c r="C43" s="34"/>
    </row>
    <row r="44">
      <c r="A44" s="35" t="s">
        <v>47</v>
      </c>
      <c r="B44" s="36">
        <f>B43*'12.% m2'!F2</f>
        <v>189501.9019</v>
      </c>
      <c r="C44" s="32"/>
    </row>
    <row r="45">
      <c r="A45" s="35" t="s">
        <v>48</v>
      </c>
      <c r="B45" s="36">
        <f>B43*'12.% m2'!F7</f>
        <v>156237.6537</v>
      </c>
      <c r="C45" s="32"/>
    </row>
    <row r="46">
      <c r="A46" s="37"/>
      <c r="B46" s="38"/>
    </row>
    <row r="47">
      <c r="A47" s="39" t="s">
        <v>49</v>
      </c>
      <c r="B47" s="38"/>
      <c r="C47" s="29" t="s">
        <v>50</v>
      </c>
      <c r="D47" s="29" t="s">
        <v>51</v>
      </c>
      <c r="E47" s="29" t="s">
        <v>52</v>
      </c>
      <c r="F47" s="29" t="s">
        <v>53</v>
      </c>
      <c r="G47" s="29" t="s">
        <v>54</v>
      </c>
      <c r="H47" s="29" t="s">
        <v>55</v>
      </c>
    </row>
    <row r="48">
      <c r="A48" s="15" t="s">
        <v>56</v>
      </c>
      <c r="B48" s="40">
        <f t="shared" ref="B48:B49" si="7">B44*1.3</f>
        <v>246352.4725</v>
      </c>
      <c r="C48" s="30">
        <f t="shared" ref="C48:C49" si="8">B48+B53</f>
        <v>265710.0695</v>
      </c>
      <c r="D48" s="8">
        <f t="shared" ref="D48:D49" si="9">C48*0.04</f>
        <v>10628.40278</v>
      </c>
      <c r="E48" s="41">
        <v>0.15</v>
      </c>
      <c r="F48" s="30">
        <f t="shared" ref="F48:F49" si="10">(1-E48)*B48</f>
        <v>209399.6016</v>
      </c>
      <c r="G48" s="8">
        <f t="shared" ref="G48:G49" si="11">F48-B44</f>
        <v>19897.6997</v>
      </c>
      <c r="H48" s="13">
        <f t="shared" ref="H48:H49" si="12">D48/F48</f>
        <v>0.05075655683</v>
      </c>
    </row>
    <row r="49">
      <c r="A49" s="15" t="s">
        <v>57</v>
      </c>
      <c r="B49" s="40">
        <f t="shared" si="7"/>
        <v>203108.9498</v>
      </c>
      <c r="C49" s="30">
        <f t="shared" si="8"/>
        <v>219068.6078</v>
      </c>
      <c r="D49" s="8">
        <f t="shared" si="9"/>
        <v>8762.744311</v>
      </c>
      <c r="E49" s="41">
        <v>0.15</v>
      </c>
      <c r="F49" s="30">
        <f t="shared" si="10"/>
        <v>172642.6073</v>
      </c>
      <c r="G49" s="8">
        <f t="shared" si="11"/>
        <v>16404.95364</v>
      </c>
      <c r="H49" s="13">
        <f t="shared" si="12"/>
        <v>0.05075655683</v>
      </c>
    </row>
    <row r="50">
      <c r="A50" s="42" t="s">
        <v>58</v>
      </c>
      <c r="B50" s="40"/>
    </row>
    <row r="51">
      <c r="A51" s="42" t="s">
        <v>59</v>
      </c>
      <c r="B51" s="25">
        <v>6.0</v>
      </c>
      <c r="D51" s="43"/>
    </row>
    <row r="52">
      <c r="A52" s="12"/>
      <c r="B52" s="12"/>
    </row>
    <row r="53">
      <c r="A53" s="27" t="s">
        <v>60</v>
      </c>
      <c r="B53" s="38">
        <f>B30*'12.% m2'!F2</f>
        <v>19357.59702</v>
      </c>
    </row>
    <row r="54">
      <c r="A54" s="27" t="s">
        <v>61</v>
      </c>
      <c r="B54" s="38">
        <f>B30*'12.% m2'!F7</f>
        <v>15959.65797</v>
      </c>
    </row>
    <row r="55">
      <c r="A55" s="15" t="s">
        <v>62</v>
      </c>
      <c r="B55" s="16">
        <f>(B48*B32+B49*B31)*0.9</f>
        <v>2061495.571</v>
      </c>
    </row>
    <row r="56">
      <c r="A56" s="44" t="s">
        <v>63</v>
      </c>
      <c r="B56" s="45">
        <f>B55-B43</f>
        <v>299379.0067</v>
      </c>
    </row>
    <row r="57">
      <c r="A57" s="46"/>
      <c r="B57" s="47"/>
    </row>
    <row r="58">
      <c r="A58" s="48"/>
      <c r="B58" s="49"/>
    </row>
    <row r="59">
      <c r="A59" s="50"/>
      <c r="B59" s="49"/>
    </row>
    <row r="60">
      <c r="A60" s="51"/>
      <c r="B60" s="52"/>
    </row>
    <row r="61">
      <c r="A61" s="48"/>
      <c r="B61" s="49"/>
    </row>
    <row r="62">
      <c r="A62" s="48"/>
      <c r="B62" s="49"/>
    </row>
    <row r="63">
      <c r="A63" s="51"/>
      <c r="B63" s="53"/>
    </row>
  </sheetData>
  <mergeCells count="1">
    <mergeCell ref="A1:B1"/>
  </mergeCells>
  <printOptions gridLines="1" horizontalCentered="1"/>
  <pageMargins bottom="0.75" footer="0.0" header="0.0" left="0.7" right="0.7" top="0.75"/>
  <pageSetup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38"/>
  </cols>
  <sheetData>
    <row r="1">
      <c r="A1" s="54" t="s">
        <v>64</v>
      </c>
    </row>
    <row r="2">
      <c r="A2" s="54"/>
    </row>
    <row r="3">
      <c r="A3" s="54" t="s">
        <v>65</v>
      </c>
    </row>
    <row r="4" ht="42.75" customHeight="1">
      <c r="A4" s="55" t="s">
        <v>66</v>
      </c>
    </row>
    <row r="5">
      <c r="A5" s="56"/>
    </row>
    <row r="6">
      <c r="A6" s="54" t="s">
        <v>67</v>
      </c>
    </row>
    <row r="7" ht="69.75" customHeight="1">
      <c r="A7" s="55" t="s">
        <v>68</v>
      </c>
    </row>
    <row r="11" ht="21.0" customHeight="1">
      <c r="A11" s="33" t="s">
        <v>69</v>
      </c>
    </row>
    <row r="12">
      <c r="A12" s="57" t="s">
        <v>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38"/>
    <col customWidth="1" min="5" max="5" width="15.75"/>
  </cols>
  <sheetData>
    <row r="1" ht="22.5" customHeight="1">
      <c r="A1" s="58" t="s">
        <v>71</v>
      </c>
      <c r="B1" s="58" t="s">
        <v>72</v>
      </c>
      <c r="C1" s="59" t="s">
        <v>73</v>
      </c>
      <c r="D1" s="59" t="s">
        <v>74</v>
      </c>
      <c r="E1" s="60" t="s">
        <v>75</v>
      </c>
      <c r="F1" s="60" t="s">
        <v>76</v>
      </c>
      <c r="G1" s="61" t="s">
        <v>77</v>
      </c>
      <c r="H1" s="60" t="s">
        <v>78</v>
      </c>
    </row>
    <row r="2" ht="22.5" customHeight="1">
      <c r="A2" s="62">
        <v>1.0</v>
      </c>
      <c r="B2" s="62">
        <v>49.05</v>
      </c>
      <c r="C2" s="62"/>
      <c r="D2" s="63"/>
      <c r="E2" s="64"/>
      <c r="F2" s="64"/>
      <c r="G2" s="65"/>
      <c r="H2" s="65"/>
    </row>
    <row r="3" ht="22.5" customHeight="1">
      <c r="A3" s="62">
        <v>2.0</v>
      </c>
      <c r="B3" s="62">
        <v>49.05</v>
      </c>
      <c r="C3" s="62"/>
      <c r="D3" s="63"/>
      <c r="E3" s="64"/>
      <c r="F3" s="64"/>
      <c r="G3" s="65"/>
      <c r="H3" s="65"/>
    </row>
    <row r="4" ht="22.5" customHeight="1">
      <c r="A4" s="62">
        <v>3.0</v>
      </c>
      <c r="B4" s="62">
        <v>49.05</v>
      </c>
      <c r="C4" s="62"/>
      <c r="D4" s="63"/>
      <c r="E4" s="64"/>
      <c r="F4" s="64"/>
      <c r="G4" s="65"/>
      <c r="H4" s="65"/>
    </row>
    <row r="5" ht="22.5" customHeight="1">
      <c r="A5" s="62">
        <v>4.0</v>
      </c>
      <c r="B5" s="62">
        <v>49.05</v>
      </c>
      <c r="C5" s="62"/>
      <c r="D5" s="63"/>
      <c r="E5" s="64"/>
      <c r="F5" s="64"/>
      <c r="G5" s="65"/>
      <c r="H5" s="65"/>
    </row>
    <row r="6" ht="22.5" customHeight="1">
      <c r="A6" s="62">
        <v>5.0</v>
      </c>
      <c r="B6" s="62">
        <v>40.48</v>
      </c>
      <c r="C6" s="62"/>
      <c r="D6" s="63"/>
      <c r="E6" s="64"/>
      <c r="F6" s="64"/>
      <c r="G6" s="65"/>
      <c r="H6" s="65"/>
    </row>
    <row r="7" ht="22.5" customHeight="1">
      <c r="A7" s="62">
        <v>6.0</v>
      </c>
      <c r="B7" s="62">
        <v>40.44</v>
      </c>
      <c r="C7" s="62"/>
      <c r="D7" s="63"/>
      <c r="E7" s="64"/>
      <c r="F7" s="64"/>
      <c r="G7" s="65"/>
      <c r="H7" s="65"/>
    </row>
    <row r="8" ht="22.5" customHeight="1">
      <c r="A8" s="62">
        <v>7.0</v>
      </c>
      <c r="B8" s="62">
        <v>40.44</v>
      </c>
      <c r="C8" s="62"/>
      <c r="D8" s="63"/>
      <c r="E8" s="64"/>
      <c r="F8" s="64"/>
      <c r="G8" s="65"/>
      <c r="H8" s="65"/>
    </row>
    <row r="9" ht="22.5" customHeight="1">
      <c r="A9" s="62">
        <v>8.0</v>
      </c>
      <c r="B9" s="62">
        <v>40.44</v>
      </c>
      <c r="C9" s="62"/>
      <c r="D9" s="63"/>
      <c r="E9" s="64"/>
      <c r="F9" s="64"/>
      <c r="G9" s="65"/>
      <c r="H9" s="65"/>
    </row>
    <row r="10" ht="22.5" customHeight="1">
      <c r="A10" s="62">
        <v>9.0</v>
      </c>
      <c r="B10" s="62">
        <v>49.05</v>
      </c>
      <c r="C10" s="62"/>
      <c r="D10" s="63"/>
      <c r="E10" s="64"/>
      <c r="F10" s="64"/>
      <c r="G10" s="65"/>
      <c r="H10" s="65"/>
    </row>
    <row r="11" ht="22.5" customHeight="1">
      <c r="A11" s="62">
        <v>10.0</v>
      </c>
      <c r="B11" s="62">
        <v>49.05</v>
      </c>
      <c r="C11" s="62" t="s">
        <v>79</v>
      </c>
      <c r="D11" s="63"/>
      <c r="E11" s="64"/>
      <c r="F11" s="64"/>
      <c r="G11" s="65"/>
      <c r="H11" s="65">
        <f>F11*0.02</f>
        <v>0</v>
      </c>
    </row>
    <row r="12" ht="22.5" customHeight="1">
      <c r="A12" s="63"/>
      <c r="B12" s="62"/>
      <c r="C12" s="62"/>
      <c r="D12" s="63"/>
      <c r="E12" s="64"/>
      <c r="F12" s="64"/>
      <c r="G12" s="65"/>
      <c r="H12" s="65"/>
    </row>
    <row r="13" ht="22.5" customHeight="1">
      <c r="A13" s="63"/>
      <c r="B13" s="63"/>
      <c r="C13" s="63"/>
      <c r="D13" s="63"/>
      <c r="E13" s="64"/>
      <c r="F13" s="64"/>
      <c r="G13" s="65"/>
      <c r="H13" s="65"/>
    </row>
    <row r="14" ht="22.5" customHeight="1">
      <c r="A14" s="64"/>
      <c r="B14" s="64"/>
      <c r="C14" s="64"/>
      <c r="D14" s="64"/>
      <c r="E14" s="64"/>
      <c r="F14" s="64"/>
      <c r="G14" s="64"/>
      <c r="H14" s="64"/>
    </row>
  </sheetData>
  <dataValidations>
    <dataValidation type="custom" allowBlank="1" showDropDown="1" sqref="A2:D13">
      <formula1>AND(ISNUMBER(A2),(NOT(OR(NOT(ISERROR(DATEVALUE(A2))),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75"/>
    <col customWidth="1" min="2" max="2" width="8.0"/>
    <col customWidth="1" min="3" max="3" width="13.75"/>
    <col customWidth="1" min="4" max="4" width="17.13"/>
    <col customWidth="1" min="5" max="5" width="14.63"/>
    <col customWidth="1" min="6" max="6" width="14.5"/>
    <col customWidth="1" min="7" max="8" width="13.13"/>
    <col customWidth="1" min="9" max="9" width="15.13"/>
    <col customWidth="1" min="10" max="10" width="17.5"/>
    <col customWidth="1" min="11" max="11" width="14.75"/>
    <col customWidth="1" min="13" max="13" width="15.25"/>
    <col customWidth="1" min="14" max="14" width="16.5"/>
    <col customWidth="1" min="15" max="15" width="14.88"/>
    <col customWidth="1" min="16" max="16" width="15.13"/>
    <col customWidth="1" min="17" max="17" width="17.5"/>
  </cols>
  <sheetData>
    <row r="1" ht="41.25" customHeight="1">
      <c r="A1" s="66"/>
      <c r="B1" s="66"/>
      <c r="C1" s="66"/>
      <c r="D1" s="66"/>
      <c r="E1" s="67"/>
      <c r="F1" s="67"/>
      <c r="G1" s="67"/>
      <c r="H1" s="67"/>
      <c r="I1" s="67"/>
      <c r="J1" s="67"/>
      <c r="K1" s="67"/>
      <c r="L1" s="67"/>
      <c r="M1" s="68"/>
      <c r="N1" s="67"/>
      <c r="O1" s="67"/>
      <c r="P1" s="68"/>
      <c r="Q1" s="68"/>
      <c r="R1" s="69"/>
      <c r="S1" s="69"/>
      <c r="T1" s="69"/>
      <c r="U1" s="69"/>
      <c r="V1" s="69"/>
      <c r="W1" s="69"/>
      <c r="X1" s="69"/>
      <c r="Y1" s="69"/>
      <c r="Z1" s="69"/>
      <c r="AA1" s="69"/>
      <c r="AB1" s="69"/>
      <c r="AC1" s="69"/>
      <c r="AD1" s="69"/>
      <c r="AE1" s="69"/>
      <c r="AF1" s="69"/>
    </row>
    <row r="2" ht="41.25" customHeight="1">
      <c r="A2" s="66"/>
      <c r="B2" s="66"/>
      <c r="C2" s="66"/>
      <c r="D2" s="66"/>
      <c r="E2" s="67"/>
      <c r="F2" s="67"/>
      <c r="G2" s="67"/>
      <c r="H2" s="67"/>
      <c r="I2" s="67"/>
      <c r="J2" s="67"/>
      <c r="K2" s="67"/>
      <c r="L2" s="67"/>
      <c r="M2" s="68"/>
      <c r="N2" s="67"/>
      <c r="O2" s="67"/>
      <c r="P2" s="68"/>
      <c r="Q2" s="68"/>
      <c r="R2" s="69"/>
      <c r="S2" s="69"/>
      <c r="T2" s="69"/>
      <c r="U2" s="69"/>
      <c r="V2" s="69"/>
      <c r="W2" s="69"/>
      <c r="X2" s="69"/>
      <c r="Y2" s="69"/>
      <c r="Z2" s="69"/>
      <c r="AA2" s="69"/>
      <c r="AB2" s="69"/>
      <c r="AC2" s="69"/>
      <c r="AD2" s="69"/>
      <c r="AE2" s="69"/>
      <c r="AF2" s="69"/>
    </row>
    <row r="3" ht="41.25" customHeight="1">
      <c r="A3" s="70"/>
      <c r="B3" s="71" t="s">
        <v>80</v>
      </c>
      <c r="C3" s="71" t="s">
        <v>81</v>
      </c>
      <c r="D3" s="66"/>
      <c r="E3" s="67"/>
      <c r="F3" s="67"/>
      <c r="G3" s="67"/>
      <c r="H3" s="67"/>
      <c r="I3" s="67"/>
      <c r="J3" s="67"/>
      <c r="K3" s="67"/>
      <c r="L3" s="67"/>
      <c r="M3" s="68"/>
      <c r="N3" s="67"/>
      <c r="O3" s="67"/>
      <c r="P3" s="68"/>
      <c r="Q3" s="68"/>
      <c r="R3" s="69"/>
      <c r="S3" s="69"/>
      <c r="T3" s="69"/>
      <c r="U3" s="69"/>
      <c r="V3" s="69"/>
      <c r="W3" s="69"/>
      <c r="X3" s="69"/>
      <c r="Y3" s="69"/>
      <c r="Z3" s="69"/>
      <c r="AA3" s="69"/>
      <c r="AB3" s="69"/>
      <c r="AC3" s="69"/>
      <c r="AD3" s="69"/>
      <c r="AE3" s="69"/>
      <c r="AF3" s="69"/>
    </row>
    <row r="4" ht="41.25" customHeight="1">
      <c r="A4" s="71" t="s">
        <v>82</v>
      </c>
      <c r="B4" s="71">
        <v>1150.0</v>
      </c>
      <c r="C4" s="71">
        <v>1300.0</v>
      </c>
      <c r="D4" s="66"/>
      <c r="E4" s="67"/>
      <c r="F4" s="67"/>
      <c r="G4" s="67"/>
      <c r="H4" s="67"/>
      <c r="I4" s="67"/>
      <c r="J4" s="67"/>
      <c r="K4" s="67"/>
      <c r="L4" s="67"/>
      <c r="M4" s="68"/>
      <c r="N4" s="67"/>
      <c r="O4" s="67"/>
      <c r="P4" s="68"/>
      <c r="Q4" s="68"/>
      <c r="R4" s="69"/>
      <c r="S4" s="69"/>
      <c r="T4" s="69"/>
      <c r="U4" s="69"/>
      <c r="V4" s="69"/>
      <c r="W4" s="69"/>
      <c r="X4" s="69"/>
      <c r="Y4" s="69"/>
      <c r="Z4" s="69"/>
      <c r="AA4" s="69"/>
      <c r="AB4" s="69"/>
      <c r="AC4" s="69"/>
      <c r="AD4" s="69"/>
      <c r="AE4" s="69"/>
      <c r="AF4" s="69"/>
    </row>
    <row r="5" ht="41.25" customHeight="1">
      <c r="A5" s="71" t="s">
        <v>83</v>
      </c>
      <c r="B5" s="71">
        <v>1400.0</v>
      </c>
      <c r="C5" s="71">
        <v>1650.0</v>
      </c>
      <c r="D5" s="66"/>
      <c r="E5" s="67"/>
      <c r="F5" s="67"/>
      <c r="G5" s="67"/>
      <c r="H5" s="67"/>
      <c r="I5" s="67"/>
      <c r="J5" s="67"/>
      <c r="K5" s="67"/>
      <c r="L5" s="67"/>
      <c r="M5" s="68"/>
      <c r="N5" s="67"/>
      <c r="O5" s="67"/>
      <c r="P5" s="68"/>
      <c r="Q5" s="68"/>
      <c r="R5" s="69"/>
      <c r="S5" s="69"/>
      <c r="T5" s="69"/>
      <c r="U5" s="69"/>
      <c r="V5" s="69"/>
      <c r="W5" s="69"/>
      <c r="X5" s="69"/>
      <c r="Y5" s="69"/>
      <c r="Z5" s="69"/>
      <c r="AA5" s="69"/>
      <c r="AB5" s="69"/>
      <c r="AC5" s="69"/>
      <c r="AD5" s="69"/>
      <c r="AE5" s="69"/>
      <c r="AF5" s="69"/>
    </row>
    <row r="6" ht="41.25" customHeight="1">
      <c r="A6" s="71" t="s">
        <v>84</v>
      </c>
      <c r="B6" s="71">
        <v>2200.0</v>
      </c>
      <c r="C6" s="71">
        <v>2500.0</v>
      </c>
      <c r="D6" s="66"/>
      <c r="E6" s="67"/>
      <c r="F6" s="67"/>
      <c r="G6" s="67"/>
      <c r="H6" s="67"/>
      <c r="I6" s="67"/>
      <c r="J6" s="67"/>
      <c r="K6" s="67"/>
      <c r="L6" s="67"/>
      <c r="M6" s="68"/>
      <c r="N6" s="67"/>
      <c r="O6" s="67"/>
      <c r="P6" s="68"/>
      <c r="Q6" s="68"/>
      <c r="R6" s="69"/>
      <c r="S6" s="69"/>
      <c r="T6" s="69"/>
      <c r="U6" s="69"/>
      <c r="V6" s="69"/>
      <c r="W6" s="69"/>
      <c r="X6" s="69"/>
      <c r="Y6" s="69"/>
      <c r="Z6" s="69"/>
      <c r="AA6" s="69"/>
      <c r="AB6" s="69"/>
      <c r="AC6" s="69"/>
      <c r="AD6" s="69"/>
      <c r="AE6" s="69"/>
      <c r="AF6" s="69"/>
    </row>
    <row r="7" ht="41.25" customHeight="1">
      <c r="A7" s="71" t="s">
        <v>85</v>
      </c>
      <c r="B7" s="71">
        <v>2750.0</v>
      </c>
      <c r="C7" s="71">
        <v>3125.0</v>
      </c>
      <c r="D7" s="66"/>
      <c r="E7" s="67"/>
      <c r="F7" s="67"/>
      <c r="G7" s="67"/>
      <c r="H7" s="67"/>
      <c r="I7" s="67"/>
      <c r="J7" s="67"/>
      <c r="K7" s="67"/>
      <c r="L7" s="67"/>
      <c r="M7" s="68"/>
      <c r="N7" s="67"/>
      <c r="O7" s="67"/>
      <c r="P7" s="68"/>
      <c r="Q7" s="68"/>
      <c r="R7" s="69"/>
      <c r="S7" s="69"/>
      <c r="T7" s="69"/>
      <c r="U7" s="69"/>
      <c r="V7" s="69"/>
      <c r="W7" s="69"/>
      <c r="X7" s="69"/>
      <c r="Y7" s="69"/>
      <c r="Z7" s="69"/>
      <c r="AA7" s="69"/>
      <c r="AB7" s="69"/>
      <c r="AC7" s="69"/>
      <c r="AD7" s="69"/>
      <c r="AE7" s="69"/>
      <c r="AF7" s="69"/>
    </row>
    <row r="8" ht="41.25" customHeight="1">
      <c r="A8" s="66"/>
      <c r="B8" s="66"/>
      <c r="C8" s="66"/>
      <c r="D8" s="66"/>
      <c r="E8" s="67"/>
      <c r="F8" s="67"/>
      <c r="G8" s="67"/>
      <c r="H8" s="67"/>
      <c r="I8" s="67"/>
      <c r="J8" s="67"/>
      <c r="K8" s="67"/>
      <c r="L8" s="67"/>
      <c r="M8" s="68"/>
      <c r="N8" s="67"/>
      <c r="O8" s="67"/>
      <c r="P8" s="68"/>
      <c r="Q8" s="68"/>
      <c r="R8" s="69"/>
      <c r="S8" s="69"/>
      <c r="T8" s="69"/>
      <c r="U8" s="69"/>
      <c r="V8" s="69"/>
      <c r="W8" s="69"/>
      <c r="X8" s="69"/>
      <c r="Y8" s="69"/>
      <c r="Z8" s="69"/>
      <c r="AA8" s="69"/>
      <c r="AB8" s="69"/>
      <c r="AC8" s="69"/>
      <c r="AD8" s="69"/>
      <c r="AE8" s="69"/>
      <c r="AF8" s="69"/>
    </row>
    <row r="9" ht="41.25" customHeight="1">
      <c r="A9" s="66"/>
      <c r="B9" s="66"/>
      <c r="C9" s="66"/>
      <c r="D9" s="66"/>
      <c r="E9" s="67"/>
      <c r="F9" s="67"/>
      <c r="G9" s="67"/>
      <c r="H9" s="67"/>
      <c r="I9" s="67"/>
      <c r="J9" s="67"/>
      <c r="K9" s="67"/>
      <c r="L9" s="67"/>
      <c r="M9" s="68"/>
      <c r="N9" s="67"/>
      <c r="O9" s="67"/>
      <c r="P9" s="68"/>
      <c r="Q9" s="68"/>
      <c r="R9" s="69"/>
      <c r="S9" s="69"/>
      <c r="T9" s="69"/>
      <c r="U9" s="69"/>
      <c r="V9" s="69"/>
      <c r="W9" s="69"/>
      <c r="X9" s="69"/>
      <c r="Y9" s="69"/>
      <c r="Z9" s="69"/>
      <c r="AA9" s="69"/>
      <c r="AB9" s="69"/>
      <c r="AC9" s="69"/>
      <c r="AD9" s="69"/>
      <c r="AE9" s="69"/>
      <c r="AF9" s="69"/>
    </row>
    <row r="10" ht="41.25" customHeight="1">
      <c r="A10" s="66"/>
      <c r="B10" s="66"/>
      <c r="C10" s="66"/>
      <c r="D10" s="66"/>
      <c r="E10" s="67"/>
      <c r="F10" s="67"/>
      <c r="G10" s="67"/>
      <c r="H10" s="67"/>
      <c r="I10" s="67"/>
      <c r="J10" s="67"/>
      <c r="K10" s="67"/>
      <c r="L10" s="67"/>
      <c r="M10" s="68"/>
      <c r="N10" s="67"/>
      <c r="O10" s="67"/>
      <c r="P10" s="68"/>
      <c r="Q10" s="68"/>
      <c r="R10" s="69"/>
      <c r="S10" s="69"/>
      <c r="T10" s="69"/>
      <c r="U10" s="69"/>
      <c r="V10" s="69"/>
      <c r="W10" s="69"/>
      <c r="X10" s="69"/>
      <c r="Y10" s="69"/>
      <c r="Z10" s="69"/>
      <c r="AA10" s="69"/>
      <c r="AB10" s="69"/>
      <c r="AC10" s="69"/>
      <c r="AD10" s="69"/>
      <c r="AE10" s="69"/>
      <c r="AF10" s="69"/>
    </row>
    <row r="11" ht="41.25" customHeight="1">
      <c r="A11" s="66"/>
      <c r="B11" s="66"/>
      <c r="C11" s="66"/>
      <c r="D11" s="66"/>
      <c r="E11" s="67"/>
      <c r="F11" s="67"/>
      <c r="G11" s="67"/>
      <c r="H11" s="67"/>
      <c r="I11" s="67"/>
      <c r="J11" s="67"/>
      <c r="K11" s="67"/>
      <c r="L11" s="67"/>
      <c r="M11" s="68"/>
      <c r="N11" s="67"/>
      <c r="O11" s="67"/>
      <c r="P11" s="68"/>
      <c r="Q11" s="68"/>
      <c r="R11" s="69"/>
      <c r="S11" s="69"/>
      <c r="T11" s="69"/>
      <c r="U11" s="69"/>
      <c r="V11" s="69"/>
      <c r="W11" s="69"/>
      <c r="X11" s="69"/>
      <c r="Y11" s="69"/>
      <c r="Z11" s="69"/>
      <c r="AA11" s="69"/>
      <c r="AB11" s="69"/>
      <c r="AC11" s="69"/>
      <c r="AD11" s="69"/>
      <c r="AE11" s="69"/>
      <c r="AF11" s="69"/>
    </row>
    <row r="12" ht="41.25" customHeight="1">
      <c r="A12" s="66"/>
      <c r="B12" s="66"/>
      <c r="C12" s="66"/>
      <c r="D12" s="66"/>
      <c r="E12" s="67"/>
      <c r="F12" s="67"/>
      <c r="G12" s="67"/>
      <c r="H12" s="67"/>
      <c r="I12" s="67"/>
      <c r="J12" s="67"/>
      <c r="K12" s="67"/>
      <c r="L12" s="67"/>
      <c r="M12" s="68"/>
      <c r="N12" s="67"/>
      <c r="O12" s="67"/>
      <c r="P12" s="68"/>
      <c r="Q12" s="68"/>
      <c r="R12" s="69"/>
      <c r="S12" s="69"/>
      <c r="T12" s="69"/>
      <c r="U12" s="69"/>
      <c r="V12" s="69"/>
      <c r="W12" s="69"/>
      <c r="X12" s="69"/>
      <c r="Y12" s="69"/>
      <c r="Z12" s="69"/>
      <c r="AA12" s="69"/>
      <c r="AB12" s="69"/>
      <c r="AC12" s="69"/>
      <c r="AD12" s="69"/>
      <c r="AE12" s="69"/>
      <c r="AF12" s="69"/>
    </row>
    <row r="13" ht="41.25" customHeight="1">
      <c r="A13" s="66"/>
      <c r="B13" s="66"/>
      <c r="C13" s="66"/>
      <c r="D13" s="66"/>
      <c r="E13" s="67"/>
      <c r="F13" s="67"/>
      <c r="G13" s="67"/>
      <c r="H13" s="67"/>
      <c r="I13" s="67"/>
      <c r="J13" s="67"/>
      <c r="K13" s="67"/>
      <c r="L13" s="67"/>
      <c r="M13" s="68"/>
      <c r="N13" s="67"/>
      <c r="O13" s="67"/>
      <c r="P13" s="68"/>
      <c r="Q13" s="68"/>
      <c r="R13" s="69"/>
      <c r="S13" s="69"/>
      <c r="T13" s="69"/>
      <c r="U13" s="69"/>
      <c r="V13" s="69"/>
      <c r="W13" s="69"/>
      <c r="X13" s="69"/>
      <c r="Y13" s="69"/>
      <c r="Z13" s="69"/>
      <c r="AA13" s="69"/>
      <c r="AB13" s="69"/>
      <c r="AC13" s="69"/>
      <c r="AD13" s="69"/>
      <c r="AE13" s="69"/>
      <c r="AF13" s="69"/>
    </row>
    <row r="14" ht="41.25" customHeight="1">
      <c r="A14" s="66"/>
      <c r="B14" s="66"/>
      <c r="C14" s="66"/>
      <c r="D14" s="66"/>
      <c r="E14" s="67"/>
      <c r="F14" s="67"/>
      <c r="G14" s="67"/>
      <c r="H14" s="67"/>
      <c r="I14" s="67"/>
      <c r="J14" s="67"/>
      <c r="K14" s="67"/>
      <c r="L14" s="67"/>
      <c r="M14" s="68"/>
      <c r="N14" s="67"/>
      <c r="O14" s="67"/>
      <c r="P14" s="68"/>
      <c r="Q14" s="68"/>
      <c r="R14" s="69"/>
      <c r="S14" s="69"/>
      <c r="T14" s="69"/>
      <c r="U14" s="69"/>
      <c r="V14" s="69"/>
      <c r="W14" s="69"/>
      <c r="X14" s="69"/>
      <c r="Y14" s="69"/>
      <c r="Z14" s="69"/>
      <c r="AA14" s="69"/>
      <c r="AB14" s="69"/>
      <c r="AC14" s="69"/>
      <c r="AD14" s="69"/>
      <c r="AE14" s="69"/>
      <c r="AF14" s="69"/>
    </row>
    <row r="15" ht="41.25" customHeight="1">
      <c r="A15" s="66"/>
      <c r="B15" s="66"/>
      <c r="C15" s="66"/>
      <c r="D15" s="66"/>
      <c r="E15" s="67"/>
      <c r="F15" s="67"/>
      <c r="G15" s="67"/>
      <c r="H15" s="67"/>
      <c r="I15" s="67"/>
      <c r="J15" s="67"/>
      <c r="K15" s="67"/>
      <c r="L15" s="67"/>
      <c r="M15" s="68"/>
      <c r="N15" s="67"/>
      <c r="O15" s="67"/>
      <c r="P15" s="68"/>
      <c r="Q15" s="68"/>
      <c r="R15" s="69"/>
      <c r="S15" s="69"/>
      <c r="T15" s="69"/>
      <c r="U15" s="69"/>
      <c r="V15" s="69"/>
      <c r="W15" s="69"/>
      <c r="X15" s="69"/>
      <c r="Y15" s="69"/>
      <c r="Z15" s="69"/>
      <c r="AA15" s="69"/>
      <c r="AB15" s="69"/>
      <c r="AC15" s="69"/>
      <c r="AD15" s="69"/>
      <c r="AE15" s="69"/>
      <c r="AF15" s="69"/>
    </row>
    <row r="16" ht="41.25" customHeight="1">
      <c r="A16" s="72" t="s">
        <v>86</v>
      </c>
      <c r="B16" s="72" t="s">
        <v>87</v>
      </c>
      <c r="C16" s="72" t="s">
        <v>88</v>
      </c>
      <c r="D16" s="72" t="s">
        <v>89</v>
      </c>
      <c r="E16" s="73" t="s">
        <v>90</v>
      </c>
      <c r="F16" s="73" t="s">
        <v>91</v>
      </c>
      <c r="G16" s="73" t="s">
        <v>92</v>
      </c>
      <c r="H16" s="73" t="s">
        <v>93</v>
      </c>
      <c r="I16" s="73" t="s">
        <v>94</v>
      </c>
      <c r="J16" s="73" t="s">
        <v>95</v>
      </c>
      <c r="K16" s="73" t="s">
        <v>96</v>
      </c>
      <c r="L16" s="73" t="s">
        <v>97</v>
      </c>
      <c r="M16" s="74" t="s">
        <v>98</v>
      </c>
      <c r="N16" s="73" t="s">
        <v>99</v>
      </c>
      <c r="O16" s="73" t="s">
        <v>100</v>
      </c>
      <c r="P16" s="74" t="s">
        <v>101</v>
      </c>
      <c r="Q16" s="74" t="s">
        <v>102</v>
      </c>
      <c r="R16" s="69"/>
      <c r="S16" s="69"/>
      <c r="T16" s="69"/>
      <c r="U16" s="69"/>
      <c r="V16" s="69"/>
      <c r="W16" s="69"/>
      <c r="X16" s="69"/>
      <c r="Y16" s="69"/>
      <c r="Z16" s="69"/>
      <c r="AA16" s="69"/>
      <c r="AB16" s="69"/>
      <c r="AC16" s="69"/>
      <c r="AD16" s="69"/>
      <c r="AE16" s="69"/>
      <c r="AF16" s="69"/>
    </row>
    <row r="17" ht="22.5" customHeight="1">
      <c r="A17" s="62">
        <v>1.0</v>
      </c>
      <c r="B17" s="62">
        <v>47.0</v>
      </c>
      <c r="C17" s="75" t="s">
        <v>103</v>
      </c>
      <c r="D17" s="76">
        <f>B6*12</f>
        <v>26400</v>
      </c>
      <c r="E17" s="77">
        <v>1100.0</v>
      </c>
      <c r="F17" s="77">
        <v>200.0</v>
      </c>
      <c r="G17" s="77">
        <v>100.0</v>
      </c>
      <c r="H17" s="77">
        <v>300.0</v>
      </c>
      <c r="I17" s="77" t="str">
        <f t="shared" ref="I17:I26" si="1">'5.Adm.Finca'!$B$16</f>
        <v>#REF!</v>
      </c>
      <c r="J17" s="78">
        <v>0.14</v>
      </c>
      <c r="K17" s="76">
        <f t="shared" ref="K17:K26" si="2">D17*J17</f>
        <v>3696</v>
      </c>
      <c r="L17" s="64" t="str">
        <f t="shared" ref="L17:L26" si="3">D17-E17-F17-G17-H17-I17-K17</f>
        <v>#REF!</v>
      </c>
      <c r="M17" s="79">
        <f>'2.Plan'!$B$49</f>
        <v>203108.9498</v>
      </c>
      <c r="N17" s="80">
        <f t="shared" ref="N17:N26" si="4">M17*0.12</f>
        <v>24373.07398</v>
      </c>
      <c r="O17" s="80">
        <f>'2.Plan'!B$54</f>
        <v>15959.65797</v>
      </c>
      <c r="P17" s="81" t="str">
        <f t="shared" ref="P17:P27" si="5">L17/M17</f>
        <v>#REF!</v>
      </c>
      <c r="Q17" s="81" t="str">
        <f t="shared" ref="Q17:Q27" si="6">L17/(M17+N17+O17)</f>
        <v>#REF!</v>
      </c>
    </row>
    <row r="18" ht="22.5" customHeight="1">
      <c r="A18" s="62">
        <v>2.0</v>
      </c>
      <c r="B18" s="62">
        <v>47.0</v>
      </c>
      <c r="C18" s="75" t="s">
        <v>103</v>
      </c>
      <c r="D18" s="76">
        <f>B6*12</f>
        <v>26400</v>
      </c>
      <c r="E18" s="77">
        <v>1100.0</v>
      </c>
      <c r="F18" s="77">
        <v>200.0</v>
      </c>
      <c r="G18" s="77">
        <v>100.0</v>
      </c>
      <c r="H18" s="77">
        <v>300.0</v>
      </c>
      <c r="I18" s="77" t="str">
        <f t="shared" si="1"/>
        <v>#REF!</v>
      </c>
      <c r="J18" s="78">
        <v>0.14</v>
      </c>
      <c r="K18" s="76">
        <f t="shared" si="2"/>
        <v>3696</v>
      </c>
      <c r="L18" s="64" t="str">
        <f t="shared" si="3"/>
        <v>#REF!</v>
      </c>
      <c r="M18" s="79">
        <f>'2.Plan'!$B$49</f>
        <v>203108.9498</v>
      </c>
      <c r="N18" s="80">
        <f t="shared" si="4"/>
        <v>24373.07398</v>
      </c>
      <c r="O18" s="80">
        <f>'2.Plan'!B$54</f>
        <v>15959.65797</v>
      </c>
      <c r="P18" s="81" t="str">
        <f t="shared" si="5"/>
        <v>#REF!</v>
      </c>
      <c r="Q18" s="81" t="str">
        <f t="shared" si="6"/>
        <v>#REF!</v>
      </c>
    </row>
    <row r="19" ht="22.5" customHeight="1">
      <c r="A19" s="62">
        <v>3.0</v>
      </c>
      <c r="B19" s="62">
        <v>47.0</v>
      </c>
      <c r="C19" s="75" t="s">
        <v>104</v>
      </c>
      <c r="D19" s="76">
        <f>B5*11</f>
        <v>15400</v>
      </c>
      <c r="E19" s="77">
        <v>150.0</v>
      </c>
      <c r="F19" s="77">
        <v>200.0</v>
      </c>
      <c r="G19" s="77">
        <v>100.0</v>
      </c>
      <c r="H19" s="77">
        <v>300.0</v>
      </c>
      <c r="I19" s="77" t="str">
        <f t="shared" si="1"/>
        <v>#REF!</v>
      </c>
      <c r="J19" s="78">
        <v>0.1</v>
      </c>
      <c r="K19" s="76">
        <f t="shared" si="2"/>
        <v>1540</v>
      </c>
      <c r="L19" s="64" t="str">
        <f t="shared" si="3"/>
        <v>#REF!</v>
      </c>
      <c r="M19" s="79">
        <f>'2.Plan'!$B$49</f>
        <v>203108.9498</v>
      </c>
      <c r="N19" s="80">
        <f t="shared" si="4"/>
        <v>24373.07398</v>
      </c>
      <c r="O19" s="80">
        <f>'2.Plan'!B$54</f>
        <v>15959.65797</v>
      </c>
      <c r="P19" s="81" t="str">
        <f t="shared" si="5"/>
        <v>#REF!</v>
      </c>
      <c r="Q19" s="81" t="str">
        <f t="shared" si="6"/>
        <v>#REF!</v>
      </c>
    </row>
    <row r="20" ht="22.5" customHeight="1">
      <c r="A20" s="62">
        <v>4.0</v>
      </c>
      <c r="B20" s="62">
        <v>47.0</v>
      </c>
      <c r="C20" s="75" t="s">
        <v>104</v>
      </c>
      <c r="D20" s="76">
        <f>B5*11</f>
        <v>15400</v>
      </c>
      <c r="E20" s="77">
        <v>150.0</v>
      </c>
      <c r="F20" s="77">
        <v>200.0</v>
      </c>
      <c r="G20" s="77">
        <v>100.0</v>
      </c>
      <c r="H20" s="77">
        <v>300.0</v>
      </c>
      <c r="I20" s="77" t="str">
        <f t="shared" si="1"/>
        <v>#REF!</v>
      </c>
      <c r="J20" s="78">
        <v>0.1</v>
      </c>
      <c r="K20" s="76">
        <f t="shared" si="2"/>
        <v>1540</v>
      </c>
      <c r="L20" s="64" t="str">
        <f t="shared" si="3"/>
        <v>#REF!</v>
      </c>
      <c r="M20" s="79">
        <f>'2.Plan'!$B$49</f>
        <v>203108.9498</v>
      </c>
      <c r="N20" s="80">
        <f t="shared" si="4"/>
        <v>24373.07398</v>
      </c>
      <c r="O20" s="80">
        <f>'2.Plan'!B$54</f>
        <v>15959.65797</v>
      </c>
      <c r="P20" s="81" t="str">
        <f t="shared" si="5"/>
        <v>#REF!</v>
      </c>
      <c r="Q20" s="81" t="str">
        <f t="shared" si="6"/>
        <v>#REF!</v>
      </c>
    </row>
    <row r="21" ht="22.5" customHeight="1">
      <c r="A21" s="62">
        <v>5.0</v>
      </c>
      <c r="B21" s="62">
        <v>57.0</v>
      </c>
      <c r="C21" s="75" t="s">
        <v>104</v>
      </c>
      <c r="D21" s="76">
        <f t="shared" ref="D21:D22" si="7">C5*11</f>
        <v>18150</v>
      </c>
      <c r="E21" s="77">
        <v>150.0</v>
      </c>
      <c r="F21" s="77">
        <v>200.0</v>
      </c>
      <c r="G21" s="77">
        <v>100.0</v>
      </c>
      <c r="H21" s="77">
        <v>300.0</v>
      </c>
      <c r="I21" s="77" t="str">
        <f t="shared" si="1"/>
        <v>#REF!</v>
      </c>
      <c r="J21" s="78">
        <v>0.1</v>
      </c>
      <c r="K21" s="76">
        <f t="shared" si="2"/>
        <v>1815</v>
      </c>
      <c r="L21" s="64" t="str">
        <f t="shared" si="3"/>
        <v>#REF!</v>
      </c>
      <c r="M21" s="79">
        <f>'2.Plan'!$B$48</f>
        <v>246352.4725</v>
      </c>
      <c r="N21" s="80">
        <f t="shared" si="4"/>
        <v>29562.2967</v>
      </c>
      <c r="O21" s="80">
        <f>'2.Plan'!B$53</f>
        <v>19357.59702</v>
      </c>
      <c r="P21" s="81" t="str">
        <f t="shared" si="5"/>
        <v>#REF!</v>
      </c>
      <c r="Q21" s="81" t="str">
        <f t="shared" si="6"/>
        <v>#REF!</v>
      </c>
    </row>
    <row r="22" ht="22.5" customHeight="1">
      <c r="A22" s="62">
        <v>6.0</v>
      </c>
      <c r="B22" s="62">
        <v>57.0</v>
      </c>
      <c r="C22" s="75" t="s">
        <v>103</v>
      </c>
      <c r="D22" s="76">
        <f t="shared" si="7"/>
        <v>27500</v>
      </c>
      <c r="E22" s="77">
        <v>1100.0</v>
      </c>
      <c r="F22" s="77">
        <v>200.0</v>
      </c>
      <c r="G22" s="77">
        <v>100.0</v>
      </c>
      <c r="H22" s="77">
        <v>300.0</v>
      </c>
      <c r="I22" s="77" t="str">
        <f t="shared" si="1"/>
        <v>#REF!</v>
      </c>
      <c r="J22" s="78">
        <v>0.14</v>
      </c>
      <c r="K22" s="76">
        <f t="shared" si="2"/>
        <v>3850</v>
      </c>
      <c r="L22" s="64" t="str">
        <f t="shared" si="3"/>
        <v>#REF!</v>
      </c>
      <c r="M22" s="79">
        <f>'2.Plan'!$B$48</f>
        <v>246352.4725</v>
      </c>
      <c r="N22" s="80">
        <f t="shared" si="4"/>
        <v>29562.2967</v>
      </c>
      <c r="O22" s="80">
        <f>'2.Plan'!B$53</f>
        <v>19357.59702</v>
      </c>
      <c r="P22" s="81" t="str">
        <f t="shared" si="5"/>
        <v>#REF!</v>
      </c>
      <c r="Q22" s="81" t="str">
        <f t="shared" si="6"/>
        <v>#REF!</v>
      </c>
    </row>
    <row r="23" ht="22.5" customHeight="1">
      <c r="A23" s="62">
        <v>7.0</v>
      </c>
      <c r="B23" s="62">
        <v>57.0</v>
      </c>
      <c r="C23" s="75" t="s">
        <v>103</v>
      </c>
      <c r="D23" s="76">
        <f>C6*12</f>
        <v>30000</v>
      </c>
      <c r="E23" s="77">
        <v>1100.0</v>
      </c>
      <c r="F23" s="77">
        <v>200.0</v>
      </c>
      <c r="G23" s="77">
        <v>100.0</v>
      </c>
      <c r="H23" s="77">
        <v>300.0</v>
      </c>
      <c r="I23" s="77" t="str">
        <f t="shared" si="1"/>
        <v>#REF!</v>
      </c>
      <c r="J23" s="78">
        <v>0.14</v>
      </c>
      <c r="K23" s="76">
        <f t="shared" si="2"/>
        <v>4200</v>
      </c>
      <c r="L23" s="64" t="str">
        <f t="shared" si="3"/>
        <v>#REF!</v>
      </c>
      <c r="M23" s="79">
        <f>'2.Plan'!$B$48</f>
        <v>246352.4725</v>
      </c>
      <c r="N23" s="80">
        <f t="shared" si="4"/>
        <v>29562.2967</v>
      </c>
      <c r="O23" s="80">
        <f>'2.Plan'!B$53</f>
        <v>19357.59702</v>
      </c>
      <c r="P23" s="81" t="str">
        <f t="shared" si="5"/>
        <v>#REF!</v>
      </c>
      <c r="Q23" s="81" t="str">
        <f t="shared" si="6"/>
        <v>#REF!</v>
      </c>
    </row>
    <row r="24" ht="22.5" customHeight="1">
      <c r="A24" s="62">
        <v>8.0</v>
      </c>
      <c r="B24" s="62">
        <v>57.0</v>
      </c>
      <c r="C24" s="75" t="s">
        <v>103</v>
      </c>
      <c r="D24" s="76">
        <f>C6*12</f>
        <v>30000</v>
      </c>
      <c r="E24" s="77">
        <v>1100.0</v>
      </c>
      <c r="F24" s="77">
        <v>200.0</v>
      </c>
      <c r="G24" s="77">
        <v>100.0</v>
      </c>
      <c r="H24" s="77">
        <v>300.0</v>
      </c>
      <c r="I24" s="77" t="str">
        <f t="shared" si="1"/>
        <v>#REF!</v>
      </c>
      <c r="J24" s="78">
        <v>0.14</v>
      </c>
      <c r="K24" s="76">
        <f t="shared" si="2"/>
        <v>4200</v>
      </c>
      <c r="L24" s="64" t="str">
        <f t="shared" si="3"/>
        <v>#REF!</v>
      </c>
      <c r="M24" s="79">
        <f>'2.Plan'!$B$48</f>
        <v>246352.4725</v>
      </c>
      <c r="N24" s="80">
        <f t="shared" si="4"/>
        <v>29562.2967</v>
      </c>
      <c r="O24" s="80">
        <f>'2.Plan'!B$53</f>
        <v>19357.59702</v>
      </c>
      <c r="P24" s="81" t="str">
        <f t="shared" si="5"/>
        <v>#REF!</v>
      </c>
      <c r="Q24" s="81" t="str">
        <f t="shared" si="6"/>
        <v>#REF!</v>
      </c>
    </row>
    <row r="25" ht="22.5" customHeight="1">
      <c r="A25" s="62">
        <v>9.0</v>
      </c>
      <c r="B25" s="62">
        <v>57.0</v>
      </c>
      <c r="C25" s="75" t="s">
        <v>103</v>
      </c>
      <c r="D25" s="76">
        <f>C6*12</f>
        <v>30000</v>
      </c>
      <c r="E25" s="77">
        <v>1100.0</v>
      </c>
      <c r="F25" s="77">
        <v>200.0</v>
      </c>
      <c r="G25" s="77">
        <v>100.0</v>
      </c>
      <c r="H25" s="77">
        <v>300.0</v>
      </c>
      <c r="I25" s="77" t="str">
        <f t="shared" si="1"/>
        <v>#REF!</v>
      </c>
      <c r="J25" s="78">
        <v>0.14</v>
      </c>
      <c r="K25" s="76">
        <f t="shared" si="2"/>
        <v>4200</v>
      </c>
      <c r="L25" s="64" t="str">
        <f t="shared" si="3"/>
        <v>#REF!</v>
      </c>
      <c r="M25" s="79">
        <f>'2.Plan'!$B$48</f>
        <v>246352.4725</v>
      </c>
      <c r="N25" s="80">
        <f t="shared" si="4"/>
        <v>29562.2967</v>
      </c>
      <c r="O25" s="80">
        <f>'2.Plan'!B$53</f>
        <v>19357.59702</v>
      </c>
      <c r="P25" s="81" t="str">
        <f t="shared" si="5"/>
        <v>#REF!</v>
      </c>
      <c r="Q25" s="81" t="str">
        <f t="shared" si="6"/>
        <v>#REF!</v>
      </c>
    </row>
    <row r="26" ht="22.5" customHeight="1">
      <c r="A26" s="62">
        <v>10.0</v>
      </c>
      <c r="B26" s="62">
        <v>57.0</v>
      </c>
      <c r="C26" s="75" t="s">
        <v>105</v>
      </c>
      <c r="D26" s="76">
        <f>C4*11</f>
        <v>14300</v>
      </c>
      <c r="E26" s="77">
        <v>100.0</v>
      </c>
      <c r="F26" s="77">
        <v>200.0</v>
      </c>
      <c r="G26" s="77">
        <v>100.0</v>
      </c>
      <c r="H26" s="77">
        <v>300.0</v>
      </c>
      <c r="I26" s="77" t="str">
        <f t="shared" si="1"/>
        <v>#REF!</v>
      </c>
      <c r="J26" s="78">
        <v>0.08</v>
      </c>
      <c r="K26" s="76">
        <f t="shared" si="2"/>
        <v>1144</v>
      </c>
      <c r="L26" s="64" t="str">
        <f t="shared" si="3"/>
        <v>#REF!</v>
      </c>
      <c r="M26" s="79">
        <f>'2.Plan'!$B$48</f>
        <v>246352.4725</v>
      </c>
      <c r="N26" s="80">
        <f t="shared" si="4"/>
        <v>29562.2967</v>
      </c>
      <c r="O26" s="80">
        <f>'2.Plan'!B$53</f>
        <v>19357.59702</v>
      </c>
      <c r="P26" s="81" t="str">
        <f t="shared" si="5"/>
        <v>#REF!</v>
      </c>
      <c r="Q26" s="81" t="str">
        <f t="shared" si="6"/>
        <v>#REF!</v>
      </c>
    </row>
    <row r="27" ht="22.5" customHeight="1">
      <c r="A27" s="82"/>
      <c r="B27" s="82"/>
      <c r="C27" s="82"/>
      <c r="D27" s="64"/>
      <c r="E27" s="83">
        <f>SUM(Simulacion_Deseado[Gastos Limpieza])</f>
        <v>7150</v>
      </c>
      <c r="F27" s="64"/>
      <c r="G27" s="64"/>
      <c r="H27" s="64"/>
      <c r="I27" s="64"/>
      <c r="J27" s="64"/>
      <c r="K27" s="84">
        <f>sum(Simulacion_Deseado[Comisiones El Fortin €])</f>
        <v>29881</v>
      </c>
      <c r="L27" s="64" t="str">
        <f>sum(Simulacion_Deseado[Neto Ingresos])</f>
        <v>#REF!</v>
      </c>
      <c r="M27" s="79">
        <f>SUM(Simulacion_Deseado[Precio Piso Mercado])</f>
        <v>2290550.634</v>
      </c>
      <c r="N27" s="85">
        <f>SUM(Simulacion_Deseado[Gastos compra])</f>
        <v>274866.0761</v>
      </c>
      <c r="O27" s="85">
        <f>SUM(Simulacion_Deseado[Mobiliario])</f>
        <v>179984.214</v>
      </c>
      <c r="P27" s="86" t="str">
        <f t="shared" si="5"/>
        <v>#REF!</v>
      </c>
      <c r="Q27" s="86" t="str">
        <f t="shared" si="6"/>
        <v>#REF!</v>
      </c>
    </row>
    <row r="31" ht="22.5" customHeight="1">
      <c r="A31" s="72" t="s">
        <v>86</v>
      </c>
      <c r="B31" s="72" t="s">
        <v>87</v>
      </c>
      <c r="C31" s="72" t="s">
        <v>88</v>
      </c>
      <c r="D31" s="72" t="s">
        <v>89</v>
      </c>
      <c r="E31" s="73" t="s">
        <v>90</v>
      </c>
      <c r="F31" s="73" t="s">
        <v>91</v>
      </c>
      <c r="G31" s="73" t="s">
        <v>92</v>
      </c>
      <c r="H31" s="73" t="s">
        <v>93</v>
      </c>
      <c r="I31" s="73" t="s">
        <v>94</v>
      </c>
      <c r="J31" s="73" t="s">
        <v>95</v>
      </c>
      <c r="K31" s="73" t="s">
        <v>96</v>
      </c>
      <c r="L31" s="73" t="s">
        <v>97</v>
      </c>
      <c r="M31" s="74" t="s">
        <v>98</v>
      </c>
      <c r="N31" s="73" t="s">
        <v>99</v>
      </c>
      <c r="O31" s="73" t="s">
        <v>100</v>
      </c>
      <c r="P31" s="74" t="s">
        <v>101</v>
      </c>
      <c r="Q31" s="74" t="s">
        <v>102</v>
      </c>
    </row>
    <row r="32" ht="22.5" customHeight="1">
      <c r="A32" s="62">
        <v>1.0</v>
      </c>
      <c r="B32" s="62">
        <v>47.0</v>
      </c>
      <c r="C32" s="75" t="s">
        <v>105</v>
      </c>
      <c r="D32" s="76">
        <f t="shared" ref="D32:D35" si="8">B$4*11</f>
        <v>12650</v>
      </c>
      <c r="E32" s="77">
        <v>100.0</v>
      </c>
      <c r="F32" s="77">
        <v>100.0</v>
      </c>
      <c r="G32" s="77">
        <v>100.0</v>
      </c>
      <c r="H32" s="77">
        <v>300.0</v>
      </c>
      <c r="I32" s="77" t="str">
        <f t="shared" ref="I32:I41" si="9">'5.Adm.Finca'!$B$16</f>
        <v>#REF!</v>
      </c>
      <c r="J32" s="78">
        <v>0.08</v>
      </c>
      <c r="K32" s="76">
        <f t="shared" ref="K32:K41" si="10">D32*J32</f>
        <v>1012</v>
      </c>
      <c r="L32" s="64" t="str">
        <f t="shared" ref="L32:L41" si="11">D32-E32-F32-G32-H32-I32-K32</f>
        <v>#REF!</v>
      </c>
      <c r="M32" s="79">
        <f>'2.Plan'!$B$49</f>
        <v>203108.9498</v>
      </c>
      <c r="N32" s="80">
        <f t="shared" ref="N32:N41" si="12">M32*0.12</f>
        <v>24373.07398</v>
      </c>
      <c r="O32" s="80">
        <f>'2.Plan'!B$54</f>
        <v>15959.65797</v>
      </c>
      <c r="P32" s="81" t="str">
        <f t="shared" ref="P32:P42" si="13">L32/M32</f>
        <v>#REF!</v>
      </c>
      <c r="Q32" s="81" t="str">
        <f t="shared" ref="Q32:Q42" si="14">L32/(M32+N32+O32)</f>
        <v>#REF!</v>
      </c>
    </row>
    <row r="33" ht="22.5" customHeight="1">
      <c r="A33" s="62">
        <v>2.0</v>
      </c>
      <c r="B33" s="62">
        <v>47.0</v>
      </c>
      <c r="C33" s="75" t="s">
        <v>105</v>
      </c>
      <c r="D33" s="76">
        <f t="shared" si="8"/>
        <v>12650</v>
      </c>
      <c r="E33" s="77">
        <v>100.0</v>
      </c>
      <c r="F33" s="77">
        <v>100.0</v>
      </c>
      <c r="G33" s="77">
        <v>100.0</v>
      </c>
      <c r="H33" s="77">
        <v>300.0</v>
      </c>
      <c r="I33" s="77" t="str">
        <f t="shared" si="9"/>
        <v>#REF!</v>
      </c>
      <c r="J33" s="78">
        <v>0.08</v>
      </c>
      <c r="K33" s="76">
        <f t="shared" si="10"/>
        <v>1012</v>
      </c>
      <c r="L33" s="64" t="str">
        <f t="shared" si="11"/>
        <v>#REF!</v>
      </c>
      <c r="M33" s="79">
        <f>'2.Plan'!$B$49</f>
        <v>203108.9498</v>
      </c>
      <c r="N33" s="80">
        <f t="shared" si="12"/>
        <v>24373.07398</v>
      </c>
      <c r="O33" s="80">
        <f>'2.Plan'!B$54</f>
        <v>15959.65797</v>
      </c>
      <c r="P33" s="81" t="str">
        <f t="shared" si="13"/>
        <v>#REF!</v>
      </c>
      <c r="Q33" s="81" t="str">
        <f t="shared" si="14"/>
        <v>#REF!</v>
      </c>
    </row>
    <row r="34" ht="22.5" customHeight="1">
      <c r="A34" s="62">
        <v>3.0</v>
      </c>
      <c r="B34" s="62">
        <v>47.0</v>
      </c>
      <c r="C34" s="75" t="s">
        <v>105</v>
      </c>
      <c r="D34" s="76">
        <f t="shared" si="8"/>
        <v>12650</v>
      </c>
      <c r="E34" s="77">
        <v>100.0</v>
      </c>
      <c r="F34" s="77">
        <v>100.0</v>
      </c>
      <c r="G34" s="77">
        <v>100.0</v>
      </c>
      <c r="H34" s="77">
        <v>300.0</v>
      </c>
      <c r="I34" s="77" t="str">
        <f t="shared" si="9"/>
        <v>#REF!</v>
      </c>
      <c r="J34" s="78">
        <v>0.08</v>
      </c>
      <c r="K34" s="76">
        <f t="shared" si="10"/>
        <v>1012</v>
      </c>
      <c r="L34" s="64" t="str">
        <f t="shared" si="11"/>
        <v>#REF!</v>
      </c>
      <c r="M34" s="79">
        <f>'2.Plan'!$B$49</f>
        <v>203108.9498</v>
      </c>
      <c r="N34" s="80">
        <f t="shared" si="12"/>
        <v>24373.07398</v>
      </c>
      <c r="O34" s="80">
        <f>'2.Plan'!B$54</f>
        <v>15959.65797</v>
      </c>
      <c r="P34" s="81" t="str">
        <f t="shared" si="13"/>
        <v>#REF!</v>
      </c>
      <c r="Q34" s="81" t="str">
        <f t="shared" si="14"/>
        <v>#REF!</v>
      </c>
    </row>
    <row r="35" ht="22.5" customHeight="1">
      <c r="A35" s="62">
        <v>4.0</v>
      </c>
      <c r="B35" s="62">
        <v>47.0</v>
      </c>
      <c r="C35" s="75" t="s">
        <v>105</v>
      </c>
      <c r="D35" s="76">
        <f t="shared" si="8"/>
        <v>12650</v>
      </c>
      <c r="E35" s="77">
        <v>100.0</v>
      </c>
      <c r="F35" s="77">
        <v>100.0</v>
      </c>
      <c r="G35" s="77">
        <v>100.0</v>
      </c>
      <c r="H35" s="77">
        <v>300.0</v>
      </c>
      <c r="I35" s="77" t="str">
        <f t="shared" si="9"/>
        <v>#REF!</v>
      </c>
      <c r="J35" s="78">
        <v>0.08</v>
      </c>
      <c r="K35" s="76">
        <f t="shared" si="10"/>
        <v>1012</v>
      </c>
      <c r="L35" s="64" t="str">
        <f t="shared" si="11"/>
        <v>#REF!</v>
      </c>
      <c r="M35" s="79">
        <f>'2.Plan'!$B$49</f>
        <v>203108.9498</v>
      </c>
      <c r="N35" s="80">
        <f t="shared" si="12"/>
        <v>24373.07398</v>
      </c>
      <c r="O35" s="80">
        <f>'2.Plan'!B$54</f>
        <v>15959.65797</v>
      </c>
      <c r="P35" s="81" t="str">
        <f t="shared" si="13"/>
        <v>#REF!</v>
      </c>
      <c r="Q35" s="81" t="str">
        <f t="shared" si="14"/>
        <v>#REF!</v>
      </c>
    </row>
    <row r="36" ht="22.5" customHeight="1">
      <c r="A36" s="62">
        <v>5.0</v>
      </c>
      <c r="B36" s="62">
        <v>57.0</v>
      </c>
      <c r="C36" s="75" t="s">
        <v>105</v>
      </c>
      <c r="D36" s="76">
        <f t="shared" ref="D36:D41" si="15">C$4*11</f>
        <v>14300</v>
      </c>
      <c r="E36" s="77">
        <v>100.0</v>
      </c>
      <c r="F36" s="77">
        <v>100.0</v>
      </c>
      <c r="G36" s="77">
        <v>100.0</v>
      </c>
      <c r="H36" s="77">
        <v>300.0</v>
      </c>
      <c r="I36" s="77" t="str">
        <f t="shared" si="9"/>
        <v>#REF!</v>
      </c>
      <c r="J36" s="78">
        <v>0.08</v>
      </c>
      <c r="K36" s="76">
        <f t="shared" si="10"/>
        <v>1144</v>
      </c>
      <c r="L36" s="64" t="str">
        <f t="shared" si="11"/>
        <v>#REF!</v>
      </c>
      <c r="M36" s="79">
        <f>'2.Plan'!$B$48</f>
        <v>246352.4725</v>
      </c>
      <c r="N36" s="80">
        <f t="shared" si="12"/>
        <v>29562.2967</v>
      </c>
      <c r="O36" s="80">
        <f>'2.Plan'!B$53</f>
        <v>19357.59702</v>
      </c>
      <c r="P36" s="81" t="str">
        <f t="shared" si="13"/>
        <v>#REF!</v>
      </c>
      <c r="Q36" s="81" t="str">
        <f t="shared" si="14"/>
        <v>#REF!</v>
      </c>
    </row>
    <row r="37" ht="22.5" customHeight="1">
      <c r="A37" s="62">
        <v>6.0</v>
      </c>
      <c r="B37" s="62">
        <v>57.0</v>
      </c>
      <c r="C37" s="75" t="s">
        <v>105</v>
      </c>
      <c r="D37" s="76">
        <f t="shared" si="15"/>
        <v>14300</v>
      </c>
      <c r="E37" s="77">
        <v>100.0</v>
      </c>
      <c r="F37" s="77">
        <v>100.0</v>
      </c>
      <c r="G37" s="77">
        <v>100.0</v>
      </c>
      <c r="H37" s="77">
        <v>300.0</v>
      </c>
      <c r="I37" s="77" t="str">
        <f t="shared" si="9"/>
        <v>#REF!</v>
      </c>
      <c r="J37" s="78">
        <v>0.08</v>
      </c>
      <c r="K37" s="76">
        <f t="shared" si="10"/>
        <v>1144</v>
      </c>
      <c r="L37" s="64" t="str">
        <f t="shared" si="11"/>
        <v>#REF!</v>
      </c>
      <c r="M37" s="79">
        <f>'2.Plan'!$B$48</f>
        <v>246352.4725</v>
      </c>
      <c r="N37" s="80">
        <f t="shared" si="12"/>
        <v>29562.2967</v>
      </c>
      <c r="O37" s="80">
        <f>'2.Plan'!B$53</f>
        <v>19357.59702</v>
      </c>
      <c r="P37" s="81" t="str">
        <f t="shared" si="13"/>
        <v>#REF!</v>
      </c>
      <c r="Q37" s="81" t="str">
        <f t="shared" si="14"/>
        <v>#REF!</v>
      </c>
    </row>
    <row r="38" ht="22.5" customHeight="1">
      <c r="A38" s="62">
        <v>7.0</v>
      </c>
      <c r="B38" s="62">
        <v>57.0</v>
      </c>
      <c r="C38" s="75" t="s">
        <v>105</v>
      </c>
      <c r="D38" s="76">
        <f t="shared" si="15"/>
        <v>14300</v>
      </c>
      <c r="E38" s="77">
        <v>100.0</v>
      </c>
      <c r="F38" s="77">
        <v>100.0</v>
      </c>
      <c r="G38" s="77">
        <v>100.0</v>
      </c>
      <c r="H38" s="77">
        <v>300.0</v>
      </c>
      <c r="I38" s="77" t="str">
        <f t="shared" si="9"/>
        <v>#REF!</v>
      </c>
      <c r="J38" s="78">
        <v>0.08</v>
      </c>
      <c r="K38" s="76">
        <f t="shared" si="10"/>
        <v>1144</v>
      </c>
      <c r="L38" s="64" t="str">
        <f t="shared" si="11"/>
        <v>#REF!</v>
      </c>
      <c r="M38" s="79">
        <f>'2.Plan'!$B$48</f>
        <v>246352.4725</v>
      </c>
      <c r="N38" s="80">
        <f t="shared" si="12"/>
        <v>29562.2967</v>
      </c>
      <c r="O38" s="80">
        <f>'2.Plan'!B$53</f>
        <v>19357.59702</v>
      </c>
      <c r="P38" s="81" t="str">
        <f t="shared" si="13"/>
        <v>#REF!</v>
      </c>
      <c r="Q38" s="81" t="str">
        <f t="shared" si="14"/>
        <v>#REF!</v>
      </c>
    </row>
    <row r="39" ht="22.5" customHeight="1">
      <c r="A39" s="62">
        <v>8.0</v>
      </c>
      <c r="B39" s="62">
        <v>57.0</v>
      </c>
      <c r="C39" s="75" t="s">
        <v>105</v>
      </c>
      <c r="D39" s="76">
        <f t="shared" si="15"/>
        <v>14300</v>
      </c>
      <c r="E39" s="77">
        <v>100.0</v>
      </c>
      <c r="F39" s="77">
        <v>100.0</v>
      </c>
      <c r="G39" s="77">
        <v>100.0</v>
      </c>
      <c r="H39" s="77">
        <v>300.0</v>
      </c>
      <c r="I39" s="77" t="str">
        <f t="shared" si="9"/>
        <v>#REF!</v>
      </c>
      <c r="J39" s="78">
        <v>0.08</v>
      </c>
      <c r="K39" s="76">
        <f t="shared" si="10"/>
        <v>1144</v>
      </c>
      <c r="L39" s="64" t="str">
        <f t="shared" si="11"/>
        <v>#REF!</v>
      </c>
      <c r="M39" s="79">
        <f>'2.Plan'!$B$48</f>
        <v>246352.4725</v>
      </c>
      <c r="N39" s="80">
        <f t="shared" si="12"/>
        <v>29562.2967</v>
      </c>
      <c r="O39" s="80">
        <f>'2.Plan'!B$53</f>
        <v>19357.59702</v>
      </c>
      <c r="P39" s="81" t="str">
        <f t="shared" si="13"/>
        <v>#REF!</v>
      </c>
      <c r="Q39" s="81" t="str">
        <f t="shared" si="14"/>
        <v>#REF!</v>
      </c>
    </row>
    <row r="40" ht="22.5" customHeight="1">
      <c r="A40" s="62">
        <v>9.0</v>
      </c>
      <c r="B40" s="62">
        <v>57.0</v>
      </c>
      <c r="C40" s="75" t="s">
        <v>105</v>
      </c>
      <c r="D40" s="76">
        <f t="shared" si="15"/>
        <v>14300</v>
      </c>
      <c r="E40" s="77">
        <v>100.0</v>
      </c>
      <c r="F40" s="77">
        <v>100.0</v>
      </c>
      <c r="G40" s="77">
        <v>100.0</v>
      </c>
      <c r="H40" s="77">
        <v>300.0</v>
      </c>
      <c r="I40" s="77" t="str">
        <f t="shared" si="9"/>
        <v>#REF!</v>
      </c>
      <c r="J40" s="78">
        <v>0.08</v>
      </c>
      <c r="K40" s="76">
        <f t="shared" si="10"/>
        <v>1144</v>
      </c>
      <c r="L40" s="64" t="str">
        <f t="shared" si="11"/>
        <v>#REF!</v>
      </c>
      <c r="M40" s="79">
        <f>'2.Plan'!$B$48</f>
        <v>246352.4725</v>
      </c>
      <c r="N40" s="80">
        <f t="shared" si="12"/>
        <v>29562.2967</v>
      </c>
      <c r="O40" s="80">
        <f>'2.Plan'!B$53</f>
        <v>19357.59702</v>
      </c>
      <c r="P40" s="81" t="str">
        <f t="shared" si="13"/>
        <v>#REF!</v>
      </c>
      <c r="Q40" s="81" t="str">
        <f t="shared" si="14"/>
        <v>#REF!</v>
      </c>
    </row>
    <row r="41" ht="22.5" customHeight="1">
      <c r="A41" s="62">
        <v>10.0</v>
      </c>
      <c r="B41" s="62">
        <v>57.0</v>
      </c>
      <c r="C41" s="75" t="s">
        <v>105</v>
      </c>
      <c r="D41" s="76">
        <f t="shared" si="15"/>
        <v>14300</v>
      </c>
      <c r="E41" s="77">
        <v>100.0</v>
      </c>
      <c r="F41" s="77">
        <v>100.0</v>
      </c>
      <c r="G41" s="87">
        <v>100.0</v>
      </c>
      <c r="H41" s="77">
        <v>300.0</v>
      </c>
      <c r="I41" s="77" t="str">
        <f t="shared" si="9"/>
        <v>#REF!</v>
      </c>
      <c r="J41" s="78">
        <v>0.08</v>
      </c>
      <c r="K41" s="76">
        <f t="shared" si="10"/>
        <v>1144</v>
      </c>
      <c r="L41" s="64" t="str">
        <f t="shared" si="11"/>
        <v>#REF!</v>
      </c>
      <c r="M41" s="79">
        <f>'2.Plan'!$B$48</f>
        <v>246352.4725</v>
      </c>
      <c r="N41" s="80">
        <f t="shared" si="12"/>
        <v>29562.2967</v>
      </c>
      <c r="O41" s="80">
        <f>'2.Plan'!B$53</f>
        <v>19357.59702</v>
      </c>
      <c r="P41" s="81" t="str">
        <f t="shared" si="13"/>
        <v>#REF!</v>
      </c>
      <c r="Q41" s="81" t="str">
        <f t="shared" si="14"/>
        <v>#REF!</v>
      </c>
    </row>
    <row r="42" ht="22.5" customHeight="1">
      <c r="A42" s="82"/>
      <c r="B42" s="82"/>
      <c r="C42" s="82"/>
      <c r="D42" s="64"/>
      <c r="E42" s="83">
        <f>SUM(WWorst_Case_Scenario[Gastos Limpieza])</f>
        <v>1000</v>
      </c>
      <c r="F42" s="80">
        <f>SUM(WWorst_Case_Scenario[Gastos adicionales])</f>
        <v>1000</v>
      </c>
      <c r="G42" s="88" t="s">
        <v>106</v>
      </c>
      <c r="H42" s="80">
        <f>SUM(WWorst_Case_Scenario[Seguro])</f>
        <v>3000</v>
      </c>
      <c r="I42" s="64" t="str">
        <f>SUM(WWorst_Case_Scenario[Comunidad])</f>
        <v>#REF!</v>
      </c>
      <c r="J42" s="64"/>
      <c r="K42" s="84">
        <f>sum(WWorst_Case_Scenario[Comisiones El Fortin €])</f>
        <v>10912</v>
      </c>
      <c r="L42" s="64" t="str">
        <f>sum(WWorst_Case_Scenario[Neto Ingresos])</f>
        <v>#REF!</v>
      </c>
      <c r="M42" s="79">
        <f>SUM(WWorst_Case_Scenario[Precio Piso Mercado])</f>
        <v>2290550.634</v>
      </c>
      <c r="N42" s="85">
        <f>SUM(WWorst_Case_Scenario[Gastos compra])</f>
        <v>274866.0761</v>
      </c>
      <c r="O42" s="85">
        <f>SUM(WWorst_Case_Scenario[Mobiliario])</f>
        <v>179984.214</v>
      </c>
      <c r="P42" s="86" t="str">
        <f t="shared" si="13"/>
        <v>#REF!</v>
      </c>
      <c r="Q42" s="86" t="str">
        <f t="shared" si="14"/>
        <v>#REF!</v>
      </c>
    </row>
    <row r="46" ht="22.5" customHeight="1">
      <c r="A46" s="72" t="s">
        <v>86</v>
      </c>
      <c r="B46" s="72" t="s">
        <v>87</v>
      </c>
      <c r="C46" s="72" t="s">
        <v>88</v>
      </c>
      <c r="D46" s="72" t="s">
        <v>89</v>
      </c>
      <c r="E46" s="73" t="s">
        <v>90</v>
      </c>
      <c r="F46" s="73" t="s">
        <v>91</v>
      </c>
      <c r="G46" s="73" t="s">
        <v>92</v>
      </c>
      <c r="H46" s="73" t="s">
        <v>93</v>
      </c>
      <c r="I46" s="73" t="s">
        <v>94</v>
      </c>
      <c r="J46" s="73" t="s">
        <v>95</v>
      </c>
      <c r="K46" s="73" t="s">
        <v>96</v>
      </c>
      <c r="L46" s="73" t="s">
        <v>97</v>
      </c>
      <c r="M46" s="74" t="s">
        <v>98</v>
      </c>
      <c r="N46" s="73" t="s">
        <v>99</v>
      </c>
      <c r="O46" s="73" t="s">
        <v>100</v>
      </c>
      <c r="P46" s="74" t="s">
        <v>101</v>
      </c>
      <c r="Q46" s="74" t="s">
        <v>102</v>
      </c>
    </row>
    <row r="47" ht="22.5" customHeight="1">
      <c r="A47" s="62">
        <v>1.0</v>
      </c>
      <c r="B47" s="62">
        <v>47.0</v>
      </c>
      <c r="C47" s="75" t="s">
        <v>103</v>
      </c>
      <c r="D47" s="76">
        <f t="shared" ref="D47:D50" si="16">B$7*12</f>
        <v>33000</v>
      </c>
      <c r="E47" s="77">
        <v>1100.0</v>
      </c>
      <c r="F47" s="77">
        <v>200.0</v>
      </c>
      <c r="G47" s="77">
        <v>150.0</v>
      </c>
      <c r="H47" s="77">
        <v>300.0</v>
      </c>
      <c r="I47" s="77" t="str">
        <f t="shared" ref="I47:I56" si="17">'5.Adm.Finca'!$B$16</f>
        <v>#REF!</v>
      </c>
      <c r="J47" s="78">
        <v>0.14</v>
      </c>
      <c r="K47" s="76">
        <f t="shared" ref="K47:K56" si="18">D47*J47</f>
        <v>4620</v>
      </c>
      <c r="L47" s="64" t="str">
        <f t="shared" ref="L47:L56" si="19">D47-E47-F47-G47-H47-I47-K47</f>
        <v>#REF!</v>
      </c>
      <c r="M47" s="79">
        <f>'2.Plan'!$B$49</f>
        <v>203108.9498</v>
      </c>
      <c r="N47" s="80">
        <f t="shared" ref="N47:N56" si="20">M47*0.12</f>
        <v>24373.07398</v>
      </c>
      <c r="O47" s="80">
        <f>'2.Plan'!B$54</f>
        <v>15959.65797</v>
      </c>
      <c r="P47" s="81" t="str">
        <f t="shared" ref="P47:P57" si="21">L47/M47</f>
        <v>#REF!</v>
      </c>
      <c r="Q47" s="81" t="str">
        <f t="shared" ref="Q47:Q57" si="22">L47/(M47+N47+O47)</f>
        <v>#REF!</v>
      </c>
    </row>
    <row r="48" ht="22.5" customHeight="1">
      <c r="A48" s="62">
        <v>2.0</v>
      </c>
      <c r="B48" s="62">
        <v>47.0</v>
      </c>
      <c r="C48" s="75" t="s">
        <v>103</v>
      </c>
      <c r="D48" s="76">
        <f t="shared" si="16"/>
        <v>33000</v>
      </c>
      <c r="E48" s="77">
        <v>1100.0</v>
      </c>
      <c r="F48" s="77">
        <v>200.0</v>
      </c>
      <c r="G48" s="77">
        <v>150.0</v>
      </c>
      <c r="H48" s="77">
        <v>300.0</v>
      </c>
      <c r="I48" s="77" t="str">
        <f t="shared" si="17"/>
        <v>#REF!</v>
      </c>
      <c r="J48" s="78">
        <v>0.14</v>
      </c>
      <c r="K48" s="76">
        <f t="shared" si="18"/>
        <v>4620</v>
      </c>
      <c r="L48" s="64" t="str">
        <f t="shared" si="19"/>
        <v>#REF!</v>
      </c>
      <c r="M48" s="79">
        <f>'2.Plan'!$B$49</f>
        <v>203108.9498</v>
      </c>
      <c r="N48" s="80">
        <f t="shared" si="20"/>
        <v>24373.07398</v>
      </c>
      <c r="O48" s="80">
        <f>'2.Plan'!B$54</f>
        <v>15959.65797</v>
      </c>
      <c r="P48" s="81" t="str">
        <f t="shared" si="21"/>
        <v>#REF!</v>
      </c>
      <c r="Q48" s="81" t="str">
        <f t="shared" si="22"/>
        <v>#REF!</v>
      </c>
    </row>
    <row r="49" ht="22.5" customHeight="1">
      <c r="A49" s="62">
        <v>3.0</v>
      </c>
      <c r="B49" s="62">
        <v>47.0</v>
      </c>
      <c r="C49" s="75" t="s">
        <v>103</v>
      </c>
      <c r="D49" s="76">
        <f t="shared" si="16"/>
        <v>33000</v>
      </c>
      <c r="E49" s="77">
        <v>1100.0</v>
      </c>
      <c r="F49" s="77">
        <v>200.0</v>
      </c>
      <c r="G49" s="77">
        <v>150.0</v>
      </c>
      <c r="H49" s="77">
        <v>300.0</v>
      </c>
      <c r="I49" s="77" t="str">
        <f t="shared" si="17"/>
        <v>#REF!</v>
      </c>
      <c r="J49" s="78">
        <v>0.14</v>
      </c>
      <c r="K49" s="76">
        <f t="shared" si="18"/>
        <v>4620</v>
      </c>
      <c r="L49" s="64" t="str">
        <f t="shared" si="19"/>
        <v>#REF!</v>
      </c>
      <c r="M49" s="79">
        <f>'2.Plan'!$B$49</f>
        <v>203108.9498</v>
      </c>
      <c r="N49" s="80">
        <f t="shared" si="20"/>
        <v>24373.07398</v>
      </c>
      <c r="O49" s="80">
        <f>'2.Plan'!B$54</f>
        <v>15959.65797</v>
      </c>
      <c r="P49" s="81" t="str">
        <f t="shared" si="21"/>
        <v>#REF!</v>
      </c>
      <c r="Q49" s="81" t="str">
        <f t="shared" si="22"/>
        <v>#REF!</v>
      </c>
    </row>
    <row r="50" ht="22.5" customHeight="1">
      <c r="A50" s="62">
        <v>4.0</v>
      </c>
      <c r="B50" s="62">
        <v>47.0</v>
      </c>
      <c r="C50" s="75" t="s">
        <v>103</v>
      </c>
      <c r="D50" s="76">
        <f t="shared" si="16"/>
        <v>33000</v>
      </c>
      <c r="E50" s="77">
        <v>1100.0</v>
      </c>
      <c r="F50" s="77">
        <v>200.0</v>
      </c>
      <c r="G50" s="77">
        <v>150.0</v>
      </c>
      <c r="H50" s="77">
        <v>300.0</v>
      </c>
      <c r="I50" s="77" t="str">
        <f t="shared" si="17"/>
        <v>#REF!</v>
      </c>
      <c r="J50" s="78">
        <v>0.14</v>
      </c>
      <c r="K50" s="76">
        <f t="shared" si="18"/>
        <v>4620</v>
      </c>
      <c r="L50" s="64" t="str">
        <f t="shared" si="19"/>
        <v>#REF!</v>
      </c>
      <c r="M50" s="79">
        <f>'2.Plan'!$B$49</f>
        <v>203108.9498</v>
      </c>
      <c r="N50" s="80">
        <f t="shared" si="20"/>
        <v>24373.07398</v>
      </c>
      <c r="O50" s="80">
        <f>'2.Plan'!B$54</f>
        <v>15959.65797</v>
      </c>
      <c r="P50" s="81" t="str">
        <f t="shared" si="21"/>
        <v>#REF!</v>
      </c>
      <c r="Q50" s="81" t="str">
        <f t="shared" si="22"/>
        <v>#REF!</v>
      </c>
    </row>
    <row r="51" ht="22.5" customHeight="1">
      <c r="A51" s="62">
        <v>5.0</v>
      </c>
      <c r="B51" s="62">
        <v>57.0</v>
      </c>
      <c r="C51" s="75" t="s">
        <v>103</v>
      </c>
      <c r="D51" s="76">
        <f t="shared" ref="D51:D56" si="23">C$7*12</f>
        <v>37500</v>
      </c>
      <c r="E51" s="77">
        <v>1100.0</v>
      </c>
      <c r="F51" s="77">
        <v>200.0</v>
      </c>
      <c r="G51" s="77">
        <v>150.0</v>
      </c>
      <c r="H51" s="77">
        <v>300.0</v>
      </c>
      <c r="I51" s="77" t="str">
        <f t="shared" si="17"/>
        <v>#REF!</v>
      </c>
      <c r="J51" s="78">
        <v>0.14</v>
      </c>
      <c r="K51" s="76">
        <f t="shared" si="18"/>
        <v>5250</v>
      </c>
      <c r="L51" s="64" t="str">
        <f t="shared" si="19"/>
        <v>#REF!</v>
      </c>
      <c r="M51" s="79">
        <f>'2.Plan'!$B$48</f>
        <v>246352.4725</v>
      </c>
      <c r="N51" s="80">
        <f t="shared" si="20"/>
        <v>29562.2967</v>
      </c>
      <c r="O51" s="80">
        <f>'2.Plan'!B$53</f>
        <v>19357.59702</v>
      </c>
      <c r="P51" s="81" t="str">
        <f t="shared" si="21"/>
        <v>#REF!</v>
      </c>
      <c r="Q51" s="81" t="str">
        <f t="shared" si="22"/>
        <v>#REF!</v>
      </c>
    </row>
    <row r="52" ht="22.5" customHeight="1">
      <c r="A52" s="62">
        <v>6.0</v>
      </c>
      <c r="B52" s="62">
        <v>57.0</v>
      </c>
      <c r="C52" s="75" t="s">
        <v>103</v>
      </c>
      <c r="D52" s="76">
        <f t="shared" si="23"/>
        <v>37500</v>
      </c>
      <c r="E52" s="77">
        <v>1100.0</v>
      </c>
      <c r="F52" s="77">
        <v>200.0</v>
      </c>
      <c r="G52" s="77">
        <v>150.0</v>
      </c>
      <c r="H52" s="77">
        <v>300.0</v>
      </c>
      <c r="I52" s="77" t="str">
        <f t="shared" si="17"/>
        <v>#REF!</v>
      </c>
      <c r="J52" s="78">
        <v>0.14</v>
      </c>
      <c r="K52" s="76">
        <f t="shared" si="18"/>
        <v>5250</v>
      </c>
      <c r="L52" s="64" t="str">
        <f t="shared" si="19"/>
        <v>#REF!</v>
      </c>
      <c r="M52" s="79">
        <f>'2.Plan'!$B$48</f>
        <v>246352.4725</v>
      </c>
      <c r="N52" s="80">
        <f t="shared" si="20"/>
        <v>29562.2967</v>
      </c>
      <c r="O52" s="80">
        <f>'2.Plan'!B$53</f>
        <v>19357.59702</v>
      </c>
      <c r="P52" s="81" t="str">
        <f t="shared" si="21"/>
        <v>#REF!</v>
      </c>
      <c r="Q52" s="81" t="str">
        <f t="shared" si="22"/>
        <v>#REF!</v>
      </c>
    </row>
    <row r="53" ht="22.5" customHeight="1">
      <c r="A53" s="62">
        <v>7.0</v>
      </c>
      <c r="B53" s="62">
        <v>57.0</v>
      </c>
      <c r="C53" s="75" t="s">
        <v>103</v>
      </c>
      <c r="D53" s="76">
        <f t="shared" si="23"/>
        <v>37500</v>
      </c>
      <c r="E53" s="77">
        <v>1100.0</v>
      </c>
      <c r="F53" s="77">
        <v>200.0</v>
      </c>
      <c r="G53" s="77">
        <v>150.0</v>
      </c>
      <c r="H53" s="77">
        <v>300.0</v>
      </c>
      <c r="I53" s="77" t="str">
        <f t="shared" si="17"/>
        <v>#REF!</v>
      </c>
      <c r="J53" s="78">
        <v>0.14</v>
      </c>
      <c r="K53" s="76">
        <f t="shared" si="18"/>
        <v>5250</v>
      </c>
      <c r="L53" s="64" t="str">
        <f t="shared" si="19"/>
        <v>#REF!</v>
      </c>
      <c r="M53" s="79">
        <f>'2.Plan'!$B$48</f>
        <v>246352.4725</v>
      </c>
      <c r="N53" s="80">
        <f t="shared" si="20"/>
        <v>29562.2967</v>
      </c>
      <c r="O53" s="80">
        <f>'2.Plan'!B$53</f>
        <v>19357.59702</v>
      </c>
      <c r="P53" s="81" t="str">
        <f t="shared" si="21"/>
        <v>#REF!</v>
      </c>
      <c r="Q53" s="81" t="str">
        <f t="shared" si="22"/>
        <v>#REF!</v>
      </c>
    </row>
    <row r="54" ht="22.5" customHeight="1">
      <c r="A54" s="62">
        <v>8.0</v>
      </c>
      <c r="B54" s="62">
        <v>57.0</v>
      </c>
      <c r="C54" s="75" t="s">
        <v>103</v>
      </c>
      <c r="D54" s="76">
        <f t="shared" si="23"/>
        <v>37500</v>
      </c>
      <c r="E54" s="77">
        <v>1100.0</v>
      </c>
      <c r="F54" s="77">
        <v>200.0</v>
      </c>
      <c r="G54" s="77">
        <v>150.0</v>
      </c>
      <c r="H54" s="77">
        <v>300.0</v>
      </c>
      <c r="I54" s="77" t="str">
        <f t="shared" si="17"/>
        <v>#REF!</v>
      </c>
      <c r="J54" s="78">
        <v>0.14</v>
      </c>
      <c r="K54" s="76">
        <f t="shared" si="18"/>
        <v>5250</v>
      </c>
      <c r="L54" s="64" t="str">
        <f t="shared" si="19"/>
        <v>#REF!</v>
      </c>
      <c r="M54" s="79">
        <f>'2.Plan'!$B$48</f>
        <v>246352.4725</v>
      </c>
      <c r="N54" s="80">
        <f t="shared" si="20"/>
        <v>29562.2967</v>
      </c>
      <c r="O54" s="80">
        <f>'2.Plan'!B$53</f>
        <v>19357.59702</v>
      </c>
      <c r="P54" s="81" t="str">
        <f t="shared" si="21"/>
        <v>#REF!</v>
      </c>
      <c r="Q54" s="81" t="str">
        <f t="shared" si="22"/>
        <v>#REF!</v>
      </c>
    </row>
    <row r="55" ht="22.5" customHeight="1">
      <c r="A55" s="62">
        <v>9.0</v>
      </c>
      <c r="B55" s="62">
        <v>57.0</v>
      </c>
      <c r="C55" s="75" t="s">
        <v>103</v>
      </c>
      <c r="D55" s="76">
        <f t="shared" si="23"/>
        <v>37500</v>
      </c>
      <c r="E55" s="77">
        <v>1100.0</v>
      </c>
      <c r="F55" s="77">
        <v>200.0</v>
      </c>
      <c r="G55" s="77">
        <v>150.0</v>
      </c>
      <c r="H55" s="77">
        <v>300.0</v>
      </c>
      <c r="I55" s="77" t="str">
        <f t="shared" si="17"/>
        <v>#REF!</v>
      </c>
      <c r="J55" s="78">
        <v>0.14</v>
      </c>
      <c r="K55" s="76">
        <f t="shared" si="18"/>
        <v>5250</v>
      </c>
      <c r="L55" s="64" t="str">
        <f t="shared" si="19"/>
        <v>#REF!</v>
      </c>
      <c r="M55" s="79">
        <f>'2.Plan'!$B$48</f>
        <v>246352.4725</v>
      </c>
      <c r="N55" s="80">
        <f t="shared" si="20"/>
        <v>29562.2967</v>
      </c>
      <c r="O55" s="80">
        <f>'2.Plan'!B$53</f>
        <v>19357.59702</v>
      </c>
      <c r="P55" s="81" t="str">
        <f t="shared" si="21"/>
        <v>#REF!</v>
      </c>
      <c r="Q55" s="81" t="str">
        <f t="shared" si="22"/>
        <v>#REF!</v>
      </c>
    </row>
    <row r="56" ht="22.5" customHeight="1">
      <c r="A56" s="62">
        <v>10.0</v>
      </c>
      <c r="B56" s="62">
        <v>57.0</v>
      </c>
      <c r="C56" s="75" t="s">
        <v>103</v>
      </c>
      <c r="D56" s="76">
        <f t="shared" si="23"/>
        <v>37500</v>
      </c>
      <c r="E56" s="77">
        <v>1100.0</v>
      </c>
      <c r="F56" s="77">
        <v>200.0</v>
      </c>
      <c r="G56" s="77">
        <v>150.0</v>
      </c>
      <c r="H56" s="77">
        <v>300.0</v>
      </c>
      <c r="I56" s="77" t="str">
        <f t="shared" si="17"/>
        <v>#REF!</v>
      </c>
      <c r="J56" s="78">
        <v>0.14</v>
      </c>
      <c r="K56" s="76">
        <f t="shared" si="18"/>
        <v>5250</v>
      </c>
      <c r="L56" s="64" t="str">
        <f t="shared" si="19"/>
        <v>#REF!</v>
      </c>
      <c r="M56" s="79">
        <f>'2.Plan'!$B$48</f>
        <v>246352.4725</v>
      </c>
      <c r="N56" s="80">
        <f t="shared" si="20"/>
        <v>29562.2967</v>
      </c>
      <c r="O56" s="80">
        <f>'2.Plan'!B$53</f>
        <v>19357.59702</v>
      </c>
      <c r="P56" s="81" t="str">
        <f t="shared" si="21"/>
        <v>#REF!</v>
      </c>
      <c r="Q56" s="81" t="str">
        <f t="shared" si="22"/>
        <v>#REF!</v>
      </c>
    </row>
    <row r="57" ht="22.5" customHeight="1">
      <c r="A57" s="82"/>
      <c r="B57" s="82"/>
      <c r="C57" s="82"/>
      <c r="D57" s="64"/>
      <c r="E57" s="83">
        <f>SUM(Best_Case_Scenario[Gastos Limpieza])</f>
        <v>11000</v>
      </c>
      <c r="F57" s="64"/>
      <c r="G57" s="64"/>
      <c r="H57" s="64"/>
      <c r="I57" s="64"/>
      <c r="J57" s="64"/>
      <c r="K57" s="84">
        <f>sum(Best_Case_Scenario[Comisiones El Fortin €])</f>
        <v>49980</v>
      </c>
      <c r="L57" s="64" t="str">
        <f>sum(Best_Case_Scenario[Neto Ingresos])</f>
        <v>#REF!</v>
      </c>
      <c r="M57" s="79">
        <f>SUM(Best_Case_Scenario[Precio Piso Mercado])</f>
        <v>2290550.634</v>
      </c>
      <c r="N57" s="85">
        <f>SUM(Best_Case_Scenario[Gastos compra])</f>
        <v>274866.0761</v>
      </c>
      <c r="O57" s="85">
        <f>SUM(Best_Case_Scenario[Mobiliario])</f>
        <v>179984.214</v>
      </c>
      <c r="P57" s="86" t="str">
        <f t="shared" si="21"/>
        <v>#REF!</v>
      </c>
      <c r="Q57" s="86" t="str">
        <f t="shared" si="22"/>
        <v>#REF!</v>
      </c>
    </row>
  </sheetData>
  <dataValidations>
    <dataValidation type="custom" allowBlank="1" showDropDown="1" sqref="A17:B26 D17:J26 N17:Q26 A32:B41 D32:J41 N32:Q41 A47:B56 D47:J56 N47:Q56">
      <formula1>AND(ISNUMBER(A17),(NOT(OR(NOT(ISERROR(DATEVALUE(A17))), AND(ISNUMBER(A17), LEFT(CELL("format", A17))="D")))))</formula1>
    </dataValidation>
  </dataValidations>
  <printOptions gridLines="1" horizontalCentered="1"/>
  <pageMargins bottom="0.75" footer="0.0" header="0.0" left="0.7" right="0.7" top="0.75"/>
  <pageSetup fitToHeight="0" paperSize="9" cellComments="atEnd" orientation="landscape" pageOrder="overThenDown"/>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14.5"/>
    <col customWidth="1" min="3" max="3" width="18.5"/>
    <col customWidth="1" min="4" max="4" width="21.0"/>
    <col customWidth="1" min="5" max="5" width="22.25"/>
    <col customWidth="1" min="6" max="6" width="23.5"/>
  </cols>
  <sheetData>
    <row r="1" ht="22.5" customHeight="1">
      <c r="A1" s="58" t="s">
        <v>71</v>
      </c>
      <c r="B1" s="58" t="s">
        <v>72</v>
      </c>
      <c r="C1" s="58" t="s">
        <v>107</v>
      </c>
      <c r="D1" s="58" t="s">
        <v>108</v>
      </c>
      <c r="E1" s="60" t="s">
        <v>109</v>
      </c>
      <c r="F1" s="60" t="s">
        <v>110</v>
      </c>
      <c r="G1" s="60" t="s">
        <v>111</v>
      </c>
    </row>
    <row r="2" ht="22.5" customHeight="1">
      <c r="A2" s="62">
        <v>1.0</v>
      </c>
      <c r="B2" s="62">
        <v>49.05</v>
      </c>
      <c r="C2" s="62">
        <v>1.0</v>
      </c>
      <c r="D2" s="63">
        <f t="shared" ref="D2:D12" si="1">B2*C2</f>
        <v>49.05</v>
      </c>
      <c r="E2" s="64">
        <f t="shared" ref="E2:E13" si="2">D2/$D$13</f>
        <v>0.1014456785</v>
      </c>
      <c r="F2" s="64">
        <f>D2/Tabla_4[[#TOTALS],[Sup Util]]</f>
        <v>0.1075422057</v>
      </c>
      <c r="G2" s="65"/>
    </row>
    <row r="3" ht="22.5" customHeight="1">
      <c r="A3" s="62">
        <v>2.0</v>
      </c>
      <c r="B3" s="62">
        <v>49.05</v>
      </c>
      <c r="C3" s="62">
        <v>1.0</v>
      </c>
      <c r="D3" s="63">
        <f t="shared" si="1"/>
        <v>49.05</v>
      </c>
      <c r="E3" s="64">
        <f t="shared" si="2"/>
        <v>0.1014456785</v>
      </c>
      <c r="F3" s="64">
        <f>D3/Tabla_4[[#TOTALS],[Sup Util]]</f>
        <v>0.1075422057</v>
      </c>
      <c r="G3" s="65"/>
    </row>
    <row r="4" ht="22.5" customHeight="1">
      <c r="A4" s="62">
        <v>3.0</v>
      </c>
      <c r="B4" s="62">
        <v>49.05</v>
      </c>
      <c r="C4" s="62">
        <v>1.0</v>
      </c>
      <c r="D4" s="63">
        <f t="shared" si="1"/>
        <v>49.05</v>
      </c>
      <c r="E4" s="64">
        <f t="shared" si="2"/>
        <v>0.1014456785</v>
      </c>
      <c r="F4" s="64">
        <f>D4/Tabla_4[[#TOTALS],[Sup Util]]</f>
        <v>0.1075422057</v>
      </c>
      <c r="G4" s="65"/>
    </row>
    <row r="5" ht="22.5" customHeight="1">
      <c r="A5" s="62">
        <v>4.0</v>
      </c>
      <c r="B5" s="62">
        <v>49.05</v>
      </c>
      <c r="C5" s="62">
        <v>1.0</v>
      </c>
      <c r="D5" s="63">
        <f t="shared" si="1"/>
        <v>49.05</v>
      </c>
      <c r="E5" s="64">
        <f t="shared" si="2"/>
        <v>0.1014456785</v>
      </c>
      <c r="F5" s="64">
        <f>D5/Tabla_4[[#TOTALS],[Sup Util]]</f>
        <v>0.1075422057</v>
      </c>
      <c r="G5" s="65"/>
    </row>
    <row r="6" ht="22.5" customHeight="1">
      <c r="A6" s="62">
        <v>5.0</v>
      </c>
      <c r="B6" s="62">
        <v>40.48</v>
      </c>
      <c r="C6" s="62">
        <v>1.0</v>
      </c>
      <c r="D6" s="63">
        <f t="shared" si="1"/>
        <v>40.48</v>
      </c>
      <c r="E6" s="64">
        <f t="shared" si="2"/>
        <v>0.08372112262</v>
      </c>
      <c r="F6" s="64">
        <f>D6/Tabla_4[[#TOTALS],[Sup Util]]</f>
        <v>0.08875246656</v>
      </c>
      <c r="G6" s="65"/>
    </row>
    <row r="7" ht="22.5" customHeight="1">
      <c r="A7" s="62">
        <v>6.0</v>
      </c>
      <c r="B7" s="62">
        <v>40.44</v>
      </c>
      <c r="C7" s="62">
        <v>1.0</v>
      </c>
      <c r="D7" s="63">
        <f t="shared" si="1"/>
        <v>40.44</v>
      </c>
      <c r="E7" s="64">
        <f t="shared" si="2"/>
        <v>0.08363839424</v>
      </c>
      <c r="F7" s="64">
        <f>D7/Tabla_4[[#TOTALS],[Sup Util]]</f>
        <v>0.0886647665</v>
      </c>
      <c r="G7" s="65"/>
    </row>
    <row r="8" ht="22.5" customHeight="1">
      <c r="A8" s="62">
        <v>7.0</v>
      </c>
      <c r="B8" s="62">
        <v>40.44</v>
      </c>
      <c r="C8" s="62">
        <v>1.0</v>
      </c>
      <c r="D8" s="63">
        <f t="shared" si="1"/>
        <v>40.44</v>
      </c>
      <c r="E8" s="64">
        <f t="shared" si="2"/>
        <v>0.08363839424</v>
      </c>
      <c r="F8" s="64">
        <f>D8/Tabla_4[[#TOTALS],[Sup Util]]</f>
        <v>0.0886647665</v>
      </c>
      <c r="G8" s="65"/>
    </row>
    <row r="9" ht="22.5" customHeight="1">
      <c r="A9" s="62">
        <v>8.0</v>
      </c>
      <c r="B9" s="62">
        <v>40.44</v>
      </c>
      <c r="C9" s="62">
        <v>1.0</v>
      </c>
      <c r="D9" s="63">
        <f t="shared" si="1"/>
        <v>40.44</v>
      </c>
      <c r="E9" s="64">
        <f t="shared" si="2"/>
        <v>0.08363839424</v>
      </c>
      <c r="F9" s="64">
        <f>D9/Tabla_4[[#TOTALS],[Sup Util]]</f>
        <v>0.0886647665</v>
      </c>
      <c r="G9" s="65"/>
    </row>
    <row r="10" ht="22.5" customHeight="1">
      <c r="A10" s="62">
        <v>9.0</v>
      </c>
      <c r="B10" s="62">
        <v>49.05</v>
      </c>
      <c r="C10" s="62">
        <v>1.0</v>
      </c>
      <c r="D10" s="63">
        <f t="shared" si="1"/>
        <v>49.05</v>
      </c>
      <c r="E10" s="64">
        <f t="shared" si="2"/>
        <v>0.1014456785</v>
      </c>
      <c r="F10" s="64">
        <f>D10/Tabla_4[[#TOTALS],[Sup Util]]</f>
        <v>0.1075422057</v>
      </c>
      <c r="G10" s="65"/>
    </row>
    <row r="11" ht="22.5" customHeight="1">
      <c r="A11" s="62">
        <v>10.0</v>
      </c>
      <c r="B11" s="62">
        <v>49.05</v>
      </c>
      <c r="C11" s="62">
        <v>1.0</v>
      </c>
      <c r="D11" s="63">
        <f t="shared" si="1"/>
        <v>49.05</v>
      </c>
      <c r="E11" s="64">
        <f t="shared" si="2"/>
        <v>0.1014456785</v>
      </c>
      <c r="F11" s="64">
        <f>D11/Tabla_4[[#TOTALS],[Sup Util]]</f>
        <v>0.1075422057</v>
      </c>
      <c r="G11" s="65"/>
    </row>
    <row r="12" ht="22.5" customHeight="1">
      <c r="A12" s="75" t="s">
        <v>112</v>
      </c>
      <c r="B12" s="62">
        <v>54.82</v>
      </c>
      <c r="C12" s="62">
        <v>0.5</v>
      </c>
      <c r="D12" s="63">
        <f t="shared" si="1"/>
        <v>27.41</v>
      </c>
      <c r="E12" s="64">
        <f t="shared" si="2"/>
        <v>0.05668962379</v>
      </c>
      <c r="F12" s="64"/>
      <c r="G12" s="65"/>
    </row>
    <row r="13" ht="22.5" customHeight="1">
      <c r="A13" s="63"/>
      <c r="B13" s="63">
        <f>SUM(B2:B12)</f>
        <v>510.92</v>
      </c>
      <c r="C13" s="63"/>
      <c r="D13" s="63">
        <f>SUM(D2:D12)</f>
        <v>483.51</v>
      </c>
      <c r="E13" s="64">
        <f t="shared" si="2"/>
        <v>1</v>
      </c>
      <c r="F13" s="64"/>
      <c r="G13" s="65"/>
    </row>
    <row r="14" ht="22.5" customHeight="1">
      <c r="A14" s="64"/>
      <c r="B14" s="89">
        <f>SUM(B2:B11)</f>
        <v>456.1</v>
      </c>
      <c r="C14" s="64"/>
      <c r="D14" s="64"/>
      <c r="E14" s="64"/>
      <c r="F14" s="64"/>
      <c r="G14" s="64"/>
    </row>
  </sheetData>
  <dataValidations>
    <dataValidation type="custom" allowBlank="1" showDropDown="1" sqref="A2:D13">
      <formula1>AND(ISNUMBER(A2),(NOT(OR(NOT(ISERROR(DATEVALUE(A2))), AND(ISNUMBER(A2), LEFT(CELL("format", A2))="D")))))</formula1>
    </dataValidation>
  </dataValidations>
  <drawing r:id="rId1"/>
  <tableParts count="1">
    <tablePart r:id="rId3"/>
  </tableParts>
</worksheet>
</file>